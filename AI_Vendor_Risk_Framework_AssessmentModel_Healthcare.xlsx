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mc:AlternateContent xmlns:mc="http://schemas.openxmlformats.org/markup-compatibility/2006">
    <mc:Choice Requires="x15">
      <x15ac:absPath xmlns:x15ac="http://schemas.microsoft.com/office/spreadsheetml/2010/11/ac" url="https://d.docs.live.net/9eb6d293d355fe7c/Profession/Personal Projects/"/>
    </mc:Choice>
  </mc:AlternateContent>
  <xr:revisionPtr revIDLastSave="124" documentId="13_ncr:1_{9C0872A7-3EA7-8545-B47E-CFBE491927A9}" xr6:coauthVersionLast="47" xr6:coauthVersionMax="47" xr10:uidLastSave="{1F270B54-2442-8E43-B388-39BD8D26744D}"/>
  <bookViews>
    <workbookView xWindow="18960" yWindow="500" windowWidth="19440" windowHeight="19920" xr2:uid="{00000000-000D-0000-FFFF-FFFF00000000}"/>
  </bookViews>
  <sheets>
    <sheet name="1 - Stakeholder Questionnaire" sheetId="2" r:id="rId1"/>
    <sheet name="2 - Vendor Questionnaire" sheetId="3" r:id="rId2"/>
    <sheet name="Final Report" sheetId="4" r:id="rId3"/>
    <sheet name="Risk Score" sheetId="9" r:id="rId4"/>
    <sheet name="Reference Score" sheetId="10" r:id="rId5"/>
    <sheet name="Assessment Controls" sheetId="5" state="hidden" r:id="rId6"/>
    <sheet name="Scoring Model" sheetId="6" state="hidden" r:id="rId7"/>
    <sheet name="Decision Thresholds" sheetId="7" state="hidden" r:id="rId8"/>
    <sheet name="Scorecard" sheetId="8" state="hidden" r:id="rId9"/>
  </sheets>
  <definedNames>
    <definedName name="_xlnm._FilterDatabase" localSheetId="0" hidden="1">'1 - Stakeholder Questionnaire'!$B$8:$D$15</definedName>
    <definedName name="_xlnm._FilterDatabase" localSheetId="1" hidden="1">'2 - Vendor Questionnaire'!$B$8:$D$87</definedName>
    <definedName name="_xlnm._FilterDatabase" localSheetId="2" hidden="1">'Final Report'!$A$23:$D$101</definedName>
    <definedName name="Vendor" localSheetId="0">#REF!</definedName>
    <definedName name="Vendo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3" i="4" l="1"/>
  <c r="D104" i="4"/>
  <c r="D105" i="4"/>
  <c r="D106" i="4"/>
  <c r="D102" i="4"/>
  <c r="B103" i="4"/>
  <c r="B104" i="4"/>
  <c r="B105" i="4"/>
  <c r="B106" i="4"/>
  <c r="B102" i="4"/>
  <c r="B94" i="9"/>
  <c r="C94" i="9" s="1"/>
  <c r="B107" i="9"/>
  <c r="C107" i="9" s="1"/>
  <c r="B108" i="9"/>
  <c r="C108" i="9" s="1"/>
  <c r="B109" i="9"/>
  <c r="C109" i="9" s="1"/>
  <c r="B110" i="9"/>
  <c r="C110" i="9" s="1"/>
  <c r="B106" i="9"/>
  <c r="B99" i="9"/>
  <c r="C99" i="9" s="1"/>
  <c r="B100" i="9"/>
  <c r="C100" i="9" s="1"/>
  <c r="B101" i="9"/>
  <c r="C101" i="9" s="1"/>
  <c r="B102" i="9"/>
  <c r="C102" i="9" s="1"/>
  <c r="B103" i="9"/>
  <c r="C103" i="9" s="1"/>
  <c r="B97" i="9"/>
  <c r="B98" i="9"/>
  <c r="C98" i="9" s="1"/>
  <c r="B93" i="9"/>
  <c r="C93" i="9" s="1"/>
  <c r="B92" i="9"/>
  <c r="B87" i="9"/>
  <c r="C87" i="9" s="1"/>
  <c r="B88" i="9"/>
  <c r="C88" i="9" s="1"/>
  <c r="B89" i="9"/>
  <c r="C89" i="9" s="1"/>
  <c r="B86" i="9"/>
  <c r="C86" i="9" s="1"/>
  <c r="B69" i="9"/>
  <c r="C69" i="9" s="1"/>
  <c r="B70" i="9"/>
  <c r="C70" i="9" s="1"/>
  <c r="B71" i="9"/>
  <c r="C71" i="9" s="1"/>
  <c r="B72" i="9"/>
  <c r="C72" i="9" s="1"/>
  <c r="B73" i="9"/>
  <c r="C73" i="9" s="1"/>
  <c r="B74" i="9"/>
  <c r="C74" i="9" s="1"/>
  <c r="B75" i="9"/>
  <c r="C75" i="9" s="1"/>
  <c r="B76" i="9"/>
  <c r="C76" i="9" s="1"/>
  <c r="B77" i="9"/>
  <c r="C77" i="9" s="1"/>
  <c r="B78" i="9"/>
  <c r="C78" i="9" s="1"/>
  <c r="B79" i="9"/>
  <c r="C79" i="9" s="1"/>
  <c r="B80" i="9"/>
  <c r="C80" i="9" s="1"/>
  <c r="B81" i="9"/>
  <c r="C81" i="9" s="1"/>
  <c r="B82" i="9"/>
  <c r="C82" i="9" s="1"/>
  <c r="B83" i="9"/>
  <c r="C83" i="9" s="1"/>
  <c r="B66" i="9"/>
  <c r="B67" i="9"/>
  <c r="C67" i="9" s="1"/>
  <c r="B68" i="9"/>
  <c r="C68" i="9" s="1"/>
  <c r="B38" i="9"/>
  <c r="C38" i="9" s="1"/>
  <c r="B39" i="9"/>
  <c r="C39" i="9" s="1"/>
  <c r="B40" i="9"/>
  <c r="C40" i="9" s="1"/>
  <c r="B41" i="9"/>
  <c r="C41" i="9" s="1"/>
  <c r="B42" i="9"/>
  <c r="C42" i="9" s="1"/>
  <c r="B43" i="9"/>
  <c r="C43" i="9" s="1"/>
  <c r="B44" i="9"/>
  <c r="C44" i="9" s="1"/>
  <c r="B45" i="9"/>
  <c r="C45" i="9" s="1"/>
  <c r="B46" i="9"/>
  <c r="C46" i="9" s="1"/>
  <c r="B47" i="9"/>
  <c r="C47" i="9" s="1"/>
  <c r="B48" i="9"/>
  <c r="C48" i="9" s="1"/>
  <c r="B49" i="9"/>
  <c r="C49" i="9" s="1"/>
  <c r="B50" i="9"/>
  <c r="C50" i="9" s="1"/>
  <c r="A87" i="4"/>
  <c r="A88" i="4"/>
  <c r="A71" i="4"/>
  <c r="A72" i="4"/>
  <c r="A73" i="4"/>
  <c r="A74" i="4"/>
  <c r="A75" i="4"/>
  <c r="A76" i="4"/>
  <c r="A77" i="4"/>
  <c r="A78" i="4"/>
  <c r="A79" i="4"/>
  <c r="A80" i="4"/>
  <c r="A81" i="4"/>
  <c r="A82" i="4"/>
  <c r="A83" i="4"/>
  <c r="A84" i="4"/>
  <c r="A85" i="4"/>
  <c r="A86" i="4"/>
  <c r="A59" i="4"/>
  <c r="A60" i="4"/>
  <c r="A61" i="4"/>
  <c r="A62" i="4"/>
  <c r="A63" i="4"/>
  <c r="A64" i="4"/>
  <c r="A65" i="4"/>
  <c r="A66" i="4"/>
  <c r="A67" i="4"/>
  <c r="A68" i="4"/>
  <c r="A45" i="4"/>
  <c r="A46" i="4"/>
  <c r="A47" i="4"/>
  <c r="A48" i="4"/>
  <c r="A49" i="4"/>
  <c r="A50" i="4"/>
  <c r="A51" i="4"/>
  <c r="A52" i="4"/>
  <c r="A53" i="4"/>
  <c r="A54" i="4"/>
  <c r="A55" i="4"/>
  <c r="A56" i="4"/>
  <c r="C68" i="4"/>
  <c r="D68" i="4"/>
  <c r="A99" i="4"/>
  <c r="A100" i="4"/>
  <c r="C77" i="4"/>
  <c r="D77" i="4"/>
  <c r="B54" i="9"/>
  <c r="C54" i="9" s="1"/>
  <c r="B55" i="9"/>
  <c r="C55" i="9" s="1"/>
  <c r="B56" i="9"/>
  <c r="C56" i="9" s="1"/>
  <c r="B57" i="9"/>
  <c r="C57" i="9" s="1"/>
  <c r="B58" i="9"/>
  <c r="C58" i="9" s="1"/>
  <c r="B59" i="9"/>
  <c r="C59" i="9" s="1"/>
  <c r="B60" i="9"/>
  <c r="C60" i="9" s="1"/>
  <c r="B61" i="9"/>
  <c r="C61" i="9" s="1"/>
  <c r="B62" i="9"/>
  <c r="C62" i="9" s="1"/>
  <c r="B63" i="9"/>
  <c r="C63" i="9" s="1"/>
  <c r="B53" i="9"/>
  <c r="C53" i="9" s="1"/>
  <c r="B37" i="9"/>
  <c r="B33" i="9"/>
  <c r="C33" i="9" s="1"/>
  <c r="B34" i="9"/>
  <c r="C34" i="9" s="1"/>
  <c r="B32" i="9"/>
  <c r="B20" i="9"/>
  <c r="C20" i="9" s="1"/>
  <c r="B21" i="9"/>
  <c r="C21" i="9" s="1"/>
  <c r="B22" i="9"/>
  <c r="C22" i="9" s="1"/>
  <c r="B23" i="9"/>
  <c r="C23" i="9" s="1"/>
  <c r="B24" i="9"/>
  <c r="C24" i="9" s="1"/>
  <c r="B25" i="9"/>
  <c r="C25" i="9" s="1"/>
  <c r="B26" i="9"/>
  <c r="C26" i="9" s="1"/>
  <c r="B27" i="9"/>
  <c r="C27" i="9" s="1"/>
  <c r="B19" i="9"/>
  <c r="C19" i="9" s="1"/>
  <c r="B18" i="9"/>
  <c r="D91" i="4"/>
  <c r="D92" i="4"/>
  <c r="D90" i="4"/>
  <c r="C91" i="4"/>
  <c r="C92" i="4"/>
  <c r="C90" i="4"/>
  <c r="C80" i="4"/>
  <c r="D80" i="4"/>
  <c r="C81" i="4"/>
  <c r="D81" i="4"/>
  <c r="C82" i="4"/>
  <c r="D82" i="4"/>
  <c r="C83" i="4"/>
  <c r="D83" i="4"/>
  <c r="C84" i="4"/>
  <c r="D84" i="4"/>
  <c r="C85" i="4"/>
  <c r="D85" i="4"/>
  <c r="C86" i="4"/>
  <c r="D86" i="4"/>
  <c r="C87" i="4"/>
  <c r="D87" i="4"/>
  <c r="C88" i="4"/>
  <c r="D88" i="4"/>
  <c r="D52" i="4"/>
  <c r="D53" i="4"/>
  <c r="D54" i="4"/>
  <c r="D55" i="4"/>
  <c r="C52" i="4"/>
  <c r="C53" i="4"/>
  <c r="C54" i="4"/>
  <c r="C55" i="4"/>
  <c r="A98" i="4"/>
  <c r="A94" i="4"/>
  <c r="A95" i="4"/>
  <c r="A93" i="4"/>
  <c r="A91" i="4"/>
  <c r="A92" i="4"/>
  <c r="A90" i="4"/>
  <c r="A89" i="4"/>
  <c r="A96" i="4"/>
  <c r="A97" i="4"/>
  <c r="A70" i="4"/>
  <c r="A69" i="4"/>
  <c r="A41" i="4"/>
  <c r="A42" i="4"/>
  <c r="D73" i="4"/>
  <c r="C73" i="4"/>
  <c r="D33" i="4"/>
  <c r="D34" i="4"/>
  <c r="D35" i="4"/>
  <c r="A27" i="4"/>
  <c r="A28" i="4"/>
  <c r="A29" i="4"/>
  <c r="A30" i="4"/>
  <c r="A31" i="4"/>
  <c r="A32" i="4"/>
  <c r="A33" i="4"/>
  <c r="A34" i="4"/>
  <c r="A35" i="4"/>
  <c r="A58" i="4"/>
  <c r="A57" i="4"/>
  <c r="C27" i="4"/>
  <c r="B6" i="8"/>
  <c r="B7" i="8" s="1"/>
  <c r="D100" i="4"/>
  <c r="C100" i="4"/>
  <c r="D99" i="4"/>
  <c r="C99" i="4"/>
  <c r="D98" i="4"/>
  <c r="C98" i="4"/>
  <c r="D97" i="4"/>
  <c r="C97" i="4"/>
  <c r="D96" i="4"/>
  <c r="C96" i="4"/>
  <c r="D95" i="4"/>
  <c r="C95" i="4"/>
  <c r="D94" i="4"/>
  <c r="C94" i="4"/>
  <c r="D79" i="4"/>
  <c r="C79" i="4"/>
  <c r="D78" i="4"/>
  <c r="C78" i="4"/>
  <c r="D76" i="4"/>
  <c r="C76" i="4"/>
  <c r="D75" i="4"/>
  <c r="C75" i="4"/>
  <c r="D74" i="4"/>
  <c r="C74" i="4"/>
  <c r="D72" i="4"/>
  <c r="C72" i="4"/>
  <c r="D71" i="4"/>
  <c r="C71" i="4"/>
  <c r="D70" i="4"/>
  <c r="C70" i="4"/>
  <c r="D67" i="4"/>
  <c r="C67" i="4"/>
  <c r="D66" i="4"/>
  <c r="C66" i="4"/>
  <c r="D65" i="4"/>
  <c r="C65" i="4"/>
  <c r="D64" i="4"/>
  <c r="C64" i="4"/>
  <c r="D63" i="4"/>
  <c r="C63" i="4"/>
  <c r="D62" i="4"/>
  <c r="C62" i="4"/>
  <c r="D61" i="4"/>
  <c r="C61" i="4"/>
  <c r="D60" i="4"/>
  <c r="C60" i="4"/>
  <c r="D59" i="4"/>
  <c r="C59" i="4"/>
  <c r="D58" i="4"/>
  <c r="C58" i="4"/>
  <c r="B57" i="4"/>
  <c r="D56" i="4"/>
  <c r="C56" i="4"/>
  <c r="D51" i="4"/>
  <c r="C51" i="4"/>
  <c r="D50" i="4"/>
  <c r="C50" i="4"/>
  <c r="D49" i="4"/>
  <c r="C49" i="4"/>
  <c r="D48" i="4"/>
  <c r="C48" i="4"/>
  <c r="D47" i="4"/>
  <c r="C47" i="4"/>
  <c r="D46" i="4"/>
  <c r="C46" i="4"/>
  <c r="D45" i="4"/>
  <c r="C45" i="4"/>
  <c r="D44" i="4"/>
  <c r="C44" i="4"/>
  <c r="D43" i="4"/>
  <c r="C43" i="4"/>
  <c r="D42" i="4"/>
  <c r="C42" i="4"/>
  <c r="D41" i="4"/>
  <c r="C41" i="4"/>
  <c r="D40" i="4"/>
  <c r="C40" i="4"/>
  <c r="B39" i="4"/>
  <c r="C35" i="4"/>
  <c r="C34" i="4"/>
  <c r="C33" i="4"/>
  <c r="D32" i="4"/>
  <c r="C32" i="4"/>
  <c r="D31" i="4"/>
  <c r="C31" i="4"/>
  <c r="D30" i="4"/>
  <c r="C30" i="4"/>
  <c r="D29" i="4"/>
  <c r="C29" i="4"/>
  <c r="D28" i="4"/>
  <c r="C28" i="4"/>
  <c r="D27" i="4"/>
  <c r="D26" i="4"/>
  <c r="C26" i="4"/>
  <c r="A44" i="4"/>
  <c r="A43" i="4"/>
  <c r="A40" i="4"/>
  <c r="A39" i="4"/>
  <c r="A26" i="4"/>
  <c r="B111" i="9" l="1"/>
  <c r="C106" i="9"/>
  <c r="C111" i="9" s="1"/>
  <c r="B104" i="9"/>
  <c r="B35" i="9"/>
  <c r="B71" i="4"/>
  <c r="B72" i="4"/>
  <c r="B73" i="4"/>
  <c r="B74" i="4"/>
  <c r="B75" i="4"/>
  <c r="B76" i="4"/>
  <c r="B78" i="4"/>
  <c r="B81" i="4"/>
  <c r="B83" i="4"/>
  <c r="B84" i="4"/>
  <c r="B86" i="4"/>
  <c r="B87" i="4"/>
  <c r="B62" i="4"/>
  <c r="B64" i="4"/>
  <c r="B79" i="4"/>
  <c r="B88" i="4"/>
  <c r="B61" i="4"/>
  <c r="B65" i="4"/>
  <c r="B77" i="4"/>
  <c r="B80" i="4"/>
  <c r="B82" i="4"/>
  <c r="B85" i="4"/>
  <c r="B60" i="4"/>
  <c r="B63" i="4"/>
  <c r="B67" i="4"/>
  <c r="B59" i="4"/>
  <c r="B66" i="4"/>
  <c r="B68" i="4"/>
  <c r="B45" i="4"/>
  <c r="B46" i="4"/>
  <c r="B47" i="4"/>
  <c r="B48" i="4"/>
  <c r="B49" i="4"/>
  <c r="B50" i="4"/>
  <c r="B51" i="4"/>
  <c r="B52" i="4"/>
  <c r="B53" i="4"/>
  <c r="B54" i="4"/>
  <c r="B55" i="4"/>
  <c r="B56" i="4"/>
  <c r="B95" i="9"/>
  <c r="B90" i="9"/>
  <c r="B84" i="9"/>
  <c r="C97" i="9"/>
  <c r="C104" i="9" s="1"/>
  <c r="C64" i="9"/>
  <c r="B64" i="9"/>
  <c r="C37" i="9"/>
  <c r="C51" i="9" s="1"/>
  <c r="B51" i="9"/>
  <c r="B91" i="4"/>
  <c r="B100" i="4"/>
  <c r="B92" i="4"/>
  <c r="B99" i="4"/>
  <c r="B98" i="4"/>
  <c r="B95" i="4"/>
  <c r="B96" i="4"/>
  <c r="B94" i="4"/>
  <c r="B90" i="4"/>
  <c r="C92" i="9"/>
  <c r="C95" i="9" s="1"/>
  <c r="C90" i="9"/>
  <c r="C66" i="9"/>
  <c r="C84" i="9" s="1"/>
  <c r="C32" i="9"/>
  <c r="C35" i="9" s="1"/>
  <c r="B28" i="9"/>
  <c r="C18" i="9"/>
  <c r="C28" i="9" s="1"/>
  <c r="B58" i="4"/>
  <c r="B97" i="4"/>
  <c r="B70" i="4"/>
  <c r="B69" i="4"/>
  <c r="B44" i="4"/>
  <c r="B43" i="4"/>
  <c r="B42" i="4"/>
  <c r="B41" i="4"/>
  <c r="B40" i="4"/>
  <c r="B35" i="4"/>
  <c r="B34" i="4"/>
  <c r="B33" i="4"/>
  <c r="B32" i="4"/>
  <c r="B31" i="4"/>
  <c r="B30" i="4"/>
  <c r="B29" i="4"/>
  <c r="B28" i="4"/>
  <c r="B27" i="4"/>
  <c r="B26" i="4"/>
  <c r="D97" i="9" l="1"/>
  <c r="B9" i="10" s="1"/>
  <c r="D9" i="10" s="1"/>
  <c r="D106" i="9"/>
  <c r="B10" i="10" s="1"/>
  <c r="D10" i="10" s="1"/>
  <c r="D18" i="9"/>
  <c r="B2" i="10"/>
  <c r="D2" i="10" s="1"/>
  <c r="D37" i="9"/>
  <c r="B4" i="10" s="1"/>
  <c r="D4" i="10" s="1"/>
  <c r="D86" i="9"/>
  <c r="B7" i="10" s="1"/>
  <c r="D7" i="10" s="1"/>
  <c r="D53" i="9"/>
  <c r="B5" i="10" s="1"/>
  <c r="D5" i="10" s="1"/>
  <c r="D92" i="9"/>
  <c r="B8" i="10" s="1"/>
  <c r="D8" i="10" s="1"/>
  <c r="D66" i="9"/>
  <c r="B6" i="10" s="1"/>
  <c r="D6" i="10" s="1"/>
  <c r="D32" i="9"/>
  <c r="B3" i="10" s="1"/>
  <c r="D3" i="10" s="1"/>
  <c r="B11" i="10" l="1"/>
  <c r="B19" i="10" s="1"/>
  <c r="I41" i="9" s="1"/>
  <c r="I40" i="9"/>
  <c r="G28" i="9"/>
  <c r="I43" i="9" l="1"/>
  <c r="I42" i="9"/>
</calcChain>
</file>

<file path=xl/sharedStrings.xml><?xml version="1.0" encoding="utf-8"?>
<sst xmlns="http://schemas.openxmlformats.org/spreadsheetml/2006/main" count="410" uniqueCount="270">
  <si>
    <t>Third-Party Name:</t>
  </si>
  <si>
    <t xml:space="preserve">Website: </t>
  </si>
  <si>
    <t>Score</t>
  </si>
  <si>
    <t>Product/Service:</t>
  </si>
  <si>
    <t>Select one…</t>
  </si>
  <si>
    <t>1.0</t>
  </si>
  <si>
    <t>General (Discovery)</t>
  </si>
  <si>
    <t>Data Privacy, Retention and Deletion</t>
  </si>
  <si>
    <t>2.10</t>
  </si>
  <si>
    <t>3.0</t>
  </si>
  <si>
    <t>Model Training, Validation, and Maintenance</t>
  </si>
  <si>
    <t>Do you check the provenance of the data in the training set to ensure its use is permitted?</t>
  </si>
  <si>
    <t>Do you publish a change log for the model?</t>
  </si>
  <si>
    <t>3.10</t>
  </si>
  <si>
    <t>Have you performed any independent audits or validation of AI model outputs?</t>
  </si>
  <si>
    <t>[IF YES] Are you willing to share those results?</t>
  </si>
  <si>
    <t>4.0</t>
  </si>
  <si>
    <t>Are penetration tests or other types of security assessments conducted on the model?</t>
  </si>
  <si>
    <t>Do you ensure that third-party libraries and components integrated into the AI system are current and secure?</t>
  </si>
  <si>
    <t>Are you able to provide evidence of the implementation, effectiveness, and maintenance of security controls within the AI system?</t>
  </si>
  <si>
    <t>4.10</t>
  </si>
  <si>
    <t>Do you maintain a configuration management plan, and can you provide evidence of its implementation?</t>
  </si>
  <si>
    <t>5.0</t>
  </si>
  <si>
    <t xml:space="preserve">Technology Integration </t>
  </si>
  <si>
    <t>6.0</t>
  </si>
  <si>
    <t>7.0</t>
  </si>
  <si>
    <t>Legal, Regulatory, and Compliance</t>
  </si>
  <si>
    <t>Legal</t>
  </si>
  <si>
    <t>No</t>
  </si>
  <si>
    <t>Instructions:</t>
  </si>
  <si>
    <t>Use the Comments field to add relevant details, including the name of the individual proving the response.</t>
  </si>
  <si>
    <t>For Internal Use</t>
  </si>
  <si>
    <t>Response</t>
  </si>
  <si>
    <t>Comments</t>
  </si>
  <si>
    <t>Use the Comments field to add relevant details.</t>
  </si>
  <si>
    <t>Domain</t>
  </si>
  <si>
    <t>Tips for Formatting and Archiving This Report:</t>
  </si>
  <si>
    <t>Ensure the content is visible in all cells: Highlight all cells, then navigate to Home &gt; Format &gt; Auto-Fit Row Height.</t>
  </si>
  <si>
    <t>Hide Excluded questions: Using the filter on Internal Stakeholders Responses cell, uncheck "EXCLUDED" to hide any questions excluded from all sections of the assessment.</t>
  </si>
  <si>
    <t>Print to PDF for archiving: Navigate to File &gt; Print and select the available print-to-PDF option.</t>
  </si>
  <si>
    <t>I. Table of Contents</t>
  </si>
  <si>
    <t>II. Risk Analysis</t>
  </si>
  <si>
    <t>III. Internal Stakeholder Responses</t>
  </si>
  <si>
    <t>IV. Vendor Responses</t>
  </si>
  <si>
    <t>1.0. General (Discovery)</t>
  </si>
  <si>
    <t>2.0.  Data Privacy, Retention, and Deletion</t>
  </si>
  <si>
    <t>3.0.  Model Training, Validation, and Maintenance</t>
  </si>
  <si>
    <t>4.0.  Information Security</t>
  </si>
  <si>
    <t>5.0.  Technology Integration</t>
  </si>
  <si>
    <t>6.0.  Nth Party Risk / Usage</t>
  </si>
  <si>
    <t>7.0.  Legal, Regulatory, and Compliance</t>
  </si>
  <si>
    <t>Following are the questions submitted to internal stakeholders, their responses, and additional comments.</t>
  </si>
  <si>
    <t>Question</t>
  </si>
  <si>
    <t>Responses</t>
  </si>
  <si>
    <t>Following are the questions submitted to the vendor, the vendor's responses, and additional comments.</t>
  </si>
  <si>
    <t>Control ID</t>
  </si>
  <si>
    <t>Control Statement</t>
  </si>
  <si>
    <t>Evidence Required</t>
  </si>
  <si>
    <t>Test Procedure</t>
  </si>
  <si>
    <t>Score (0-4)</t>
  </si>
  <si>
    <t>Notes</t>
  </si>
  <si>
    <t>CTRL-AI-001</t>
  </si>
  <si>
    <t>Governance</t>
  </si>
  <si>
    <t>Use cases must be approved and risk classified</t>
  </si>
  <si>
    <t>Use case inventory, approval record</t>
  </si>
  <si>
    <t>Verify approvals</t>
  </si>
  <si>
    <t>CTRL-AI-010</t>
  </si>
  <si>
    <t>Data Protection</t>
  </si>
  <si>
    <t>No training on client data without authorization</t>
  </si>
  <si>
    <t>Contract, architecture docs</t>
  </si>
  <si>
    <t>Inspect contract</t>
  </si>
  <si>
    <t>CTRL-AI-020</t>
  </si>
  <si>
    <t>Model Risk</t>
  </si>
  <si>
    <t>Model transparency must be provided</t>
  </si>
  <si>
    <t>Model documentation</t>
  </si>
  <si>
    <t>Review docs</t>
  </si>
  <si>
    <t>CTRL-AI-030</t>
  </si>
  <si>
    <t>Security</t>
  </si>
  <si>
    <t>Security testing required</t>
  </si>
  <si>
    <t>Pen test reports</t>
  </si>
  <si>
    <t>Validate reports</t>
  </si>
  <si>
    <t>CTRL-AI-040</t>
  </si>
  <si>
    <t>Third Party</t>
  </si>
  <si>
    <t>Subprocessor disclosure required</t>
  </si>
  <si>
    <t>Vendor list</t>
  </si>
  <si>
    <t>Verify disclosure</t>
  </si>
  <si>
    <t>CTRL-AI-050</t>
  </si>
  <si>
    <t>Data ownership defined</t>
  </si>
  <si>
    <t>Contract terms</t>
  </si>
  <si>
    <t>Review contract</t>
  </si>
  <si>
    <t>CTRL-AI-060</t>
  </si>
  <si>
    <t>Integration</t>
  </si>
  <si>
    <t>Secure API integration required</t>
  </si>
  <si>
    <t>API docs</t>
  </si>
  <si>
    <t>Inspect controls</t>
  </si>
  <si>
    <t>CTRL-AI-070</t>
  </si>
  <si>
    <t>Monitoring</t>
  </si>
  <si>
    <t>Logging and monitoring enabled</t>
  </si>
  <si>
    <t>Logs, SIEM exports</t>
  </si>
  <si>
    <t>Review logs</t>
  </si>
  <si>
    <t>Definition</t>
  </si>
  <si>
    <t>Not implemented</t>
  </si>
  <si>
    <t>Partially implemented</t>
  </si>
  <si>
    <t>Implemented (no evidence)</t>
  </si>
  <si>
    <t>Implemented with evidence</t>
  </si>
  <si>
    <t>Validated</t>
  </si>
  <si>
    <t>Score Range</t>
  </si>
  <si>
    <t>Decision</t>
  </si>
  <si>
    <t>Action</t>
  </si>
  <si>
    <t>&gt;=85%</t>
  </si>
  <si>
    <t>Approve</t>
  </si>
  <si>
    <t>Standard monitoring</t>
  </si>
  <si>
    <t>70-84%</t>
  </si>
  <si>
    <t>Conditional</t>
  </si>
  <si>
    <t>Remediation required</t>
  </si>
  <si>
    <t>50-69%</t>
  </si>
  <si>
    <t>High Risk</t>
  </si>
  <si>
    <t>Senior approval</t>
  </si>
  <si>
    <t>&lt;50%</t>
  </si>
  <si>
    <t>Reject</t>
  </si>
  <si>
    <t>Do not onboard</t>
  </si>
  <si>
    <t>Metric</t>
  </si>
  <si>
    <t>Value</t>
  </si>
  <si>
    <t>Total Controls</t>
  </si>
  <si>
    <t>Average Score</t>
  </si>
  <si>
    <t>Weighted Score %</t>
  </si>
  <si>
    <t>Risk Tier</t>
  </si>
  <si>
    <t>Enter Low/Moderate/High</t>
  </si>
  <si>
    <t>Final Score</t>
  </si>
  <si>
    <t>Business Owner Sign-Off</t>
  </si>
  <si>
    <t>Name:</t>
  </si>
  <si>
    <t>Title:</t>
  </si>
  <si>
    <t>Decision:</t>
  </si>
  <si>
    <t>Approve / Conditional / Reject</t>
  </si>
  <si>
    <t>Risk Acceptance Required (Y/N):</t>
  </si>
  <si>
    <t>Signature:</t>
  </si>
  <si>
    <t>Date:</t>
  </si>
  <si>
    <t>Can the vendor comply with HIPAA, HITECH, state privacy laws, and all applicable healthcare regulations?</t>
  </si>
  <si>
    <t>Does your organization process, store, transmit, or access Protected Health Information (PHI)?</t>
  </si>
  <si>
    <t>Do you provide privacy notices describing how PHI is collected, processed, stored, and disclosed?</t>
  </si>
  <si>
    <t>Can PHI be excluded from optional processing, analytics, testing, or secondary use activities?</t>
  </si>
  <si>
    <t>Will PHI be used for analytics, machine learning, product improvement, testing, research, or any purpose other than providing contracted services?</t>
  </si>
  <si>
    <t>[IF YES] Can you provide evidence that PHI excluded from secondary use is not used for those purposes?</t>
  </si>
  <si>
    <t>Do you monitor and review access to PHI to detect inappropriate access, misuse, or unauthorized disclosure?</t>
  </si>
  <si>
    <t>Will the vendor's services be accessible to patients, members, providers, workforce members, or other external users?</t>
  </si>
  <si>
    <t>[IF YES] Have all required patient notices, consents, or authorizations been evaluated and implemented where required by HIPAA or applicable state privacy laws?</t>
  </si>
  <si>
    <t>Does the proposed use align with HIPAA, HITECH, organizational privacy policies, security policies, and data governance requirements?</t>
  </si>
  <si>
    <t>Are there any contractual, regulatory, legal, or customer obligations that restrict or prohibit the use of this vendor?</t>
  </si>
  <si>
    <t>[IF YES] Will PHI be processed within a dedicated healthcare environment, a shared environment, or a third-party cloud environment?</t>
  </si>
  <si>
    <t>[IF YES to 1.1 or 1.2] Will AI-generated outputs influence patient care, treatment decisions, diagnoses, or clinical recommendations?</t>
  </si>
  <si>
    <t>Are customers permitted to perform authorized security testing, red teaming, or penetration testing of the service, subject to agreed terms and conditions?</t>
  </si>
  <si>
    <t>Does the organization maintain formal change management and release management processes to evaluate security, privacy, and compliance impacts before deploying model or system changes?</t>
  </si>
  <si>
    <t>Is multi-factor authentication required for privileged accounts and administrative access?</t>
  </si>
  <si>
    <t>Do you maintain a formal vulnerability management and patch management program?</t>
  </si>
  <si>
    <t>Do you maintain a documented incident response plan and security incident notification process?</t>
  </si>
  <si>
    <t>Which healthcare systems, applications, or platforms can the solution integrate with (e.g., EHR/EMR, identity providers, SIEM, cloud services)?</t>
  </si>
  <si>
    <t>Does the solution provide APIs or integration capabilities with healthcare systems that process PHI?</t>
  </si>
  <si>
    <t>Are third-party integrations, plugins, or extensions reviewed and approved for security, privacy, and HIPAA compliance before deployment?</t>
  </si>
  <si>
    <t>Do you utilize subcontractors, cloud providers, or third parties that create, receive, maintain, or transmit PHI?</t>
  </si>
  <si>
    <t>Will any subcontractor have access to PHI, ePHI, metadata, logs, backups, or customer information?</t>
  </si>
  <si>
    <t>Can you provide evidence of compliance (e.g., HIPAA assessment, SOC 2, HITRUST, ISO 27001, or independent audit reports)?</t>
  </si>
  <si>
    <t>Do you maintain a documented Third-Party Risk Management (TPRM) program for assessing and monitoring subcontractors?</t>
  </si>
  <si>
    <t>Does your model training process include human review or reinforcement learning from human feedback?</t>
  </si>
  <si>
    <t>Is there formalized training to ensure stakeholders remain current on best practices, emerging threats, and risks associated with AI?</t>
  </si>
  <si>
    <t>Are safeguards implemented to protect the AI system against malicious input and prompt injection attacks?</t>
  </si>
  <si>
    <t>Third-Party Risk/Usage</t>
  </si>
  <si>
    <t>[IF YES to 1.1 or 1.2] Describe how your service accesses, uses, stores, processes, transmits, and protects PHI.</t>
  </si>
  <si>
    <t>Is data used for model training, testing, or validation de-identified, aggregated, or anonymized where appropriate?</t>
  </si>
  <si>
    <t>Do you log and monitor security-related events within the AI system (e.g., breaches, data exfiltration attempts, or attempted exploits)?</t>
  </si>
  <si>
    <t>Category</t>
  </si>
  <si>
    <t>Total</t>
  </si>
  <si>
    <t>Percentage Calculations</t>
  </si>
  <si>
    <t>Internal Stakeholder Responses</t>
  </si>
  <si>
    <t>Low Risk</t>
  </si>
  <si>
    <t>Medium Risk</t>
  </si>
  <si>
    <t>Vendor Responses</t>
  </si>
  <si>
    <t>Critical Risk</t>
  </si>
  <si>
    <t>Does the solution support Single Sign-On (SSO) integration with enterprise identity providers (e.g., Azure AD, Okta)?</t>
  </si>
  <si>
    <t>Does the solution enforce the principle of least privilege and minimum necessary access to PHI?</t>
  </si>
  <si>
    <t>[IF YES] Can access to PHI be restricted through role-based access controls and least-privilege principles?</t>
  </si>
  <si>
    <t>Are workforce and privileged user access rights reviewed periodically?</t>
  </si>
  <si>
    <t>Has a formal HIPAA compliance assessment or review been completed within the last 12 months?</t>
  </si>
  <si>
    <t>Is a documented HIPAA breach response process maintained?</t>
  </si>
  <si>
    <t>Has the vendor's certification status (ISO 27001, HITRUST, SOC 2, etc.) been independently validated and verified?</t>
  </si>
  <si>
    <t>Are security controls independently assessed on a periodic basis?</t>
  </si>
  <si>
    <t>[IF YES] Are independent third-party security assessments performed periodically?</t>
  </si>
  <si>
    <t>Are AI-related incidents tracked, investigated, and documented?</t>
  </si>
  <si>
    <t>4.20</t>
  </si>
  <si>
    <t>Have all critical or high-risk findings identified during independent security assessments been remediated?</t>
  </si>
  <si>
    <t>Has model extraction, model theft, or unauthorized model replication risk been assessed?</t>
  </si>
  <si>
    <t>Are model updates reviewed for security, privacy, and compliance impacts prior to deployment?</t>
  </si>
  <si>
    <t>Has an AI risk owner been formally assigned?</t>
  </si>
  <si>
    <t xml:space="preserve">AI &amp; Information Security </t>
  </si>
  <si>
    <t>Access Management</t>
  </si>
  <si>
    <t>Has model poisoning risk been assessed and mitigated?</t>
  </si>
  <si>
    <t>8.0</t>
  </si>
  <si>
    <t>Overall Risk Summary</t>
  </si>
  <si>
    <t>Result</t>
  </si>
  <si>
    <t>Risk Rating</t>
  </si>
  <si>
    <t>Percentage</t>
  </si>
  <si>
    <t>Weight</t>
  </si>
  <si>
    <t>Weighted Score</t>
  </si>
  <si>
    <t>Stakeholder</t>
  </si>
  <si>
    <t>Data Privacy</t>
  </si>
  <si>
    <t>Model Governance</t>
  </si>
  <si>
    <t>Information Security</t>
  </si>
  <si>
    <t>Technology Integration</t>
  </si>
  <si>
    <t>Third Party Risk</t>
  </si>
  <si>
    <t>Genral</t>
  </si>
  <si>
    <t>Overall risk score</t>
  </si>
  <si>
    <t>Overall Score</t>
  </si>
  <si>
    <t>90% - 100%</t>
  </si>
  <si>
    <t>Approved</t>
  </si>
  <si>
    <t>80% - 89%</t>
  </si>
  <si>
    <t>Moderate Risk</t>
  </si>
  <si>
    <t>Approved with Minor Conditions</t>
  </si>
  <si>
    <t>70% - 79%</t>
  </si>
  <si>
    <t>Risk Review Required</t>
  </si>
  <si>
    <t>50% - 69%</t>
  </si>
  <si>
    <t>Remediation Required</t>
  </si>
  <si>
    <t>Below 50%</t>
  </si>
  <si>
    <t>Reject Vendor</t>
  </si>
  <si>
    <t>Assessor Comments</t>
  </si>
  <si>
    <t>{name}</t>
  </si>
  <si>
    <t>{website}</t>
  </si>
  <si>
    <t>{product/service}</t>
  </si>
  <si>
    <t>Has a documented and approved business justification been established for the vendor to access, process, store, transmit, or manage PHI and/or PII?</t>
  </si>
  <si>
    <t>Has the healthcare business process, clinical workflow, or operational function supported by this vendor been clearly defined and documented?</t>
  </si>
  <si>
    <t>Do existing agreements, notices, consent forms, or Terms and Conditions require updates to address the vendor's access to or processing of PHI and PII?</t>
  </si>
  <si>
    <t>Has the organization identified and defined the types of PHI and/or PII involved, and how the vendor will access, process, store, transmit, and protect the data?</t>
  </si>
  <si>
    <t>Has the vendor implemented controls to protect PHI and PII from unauthorized access, disclosure, alteration, misuse, or destruction?</t>
  </si>
  <si>
    <t>Does the vendor provide a documented process that allows authorized users or organizations to request exclusion of PHI and/or PII from optional processing activities, including AI model training, analytics, product improvement, or other secondary uses?</t>
  </si>
  <si>
    <t>Has the vendor defined the service functionality that remains available when PHI processing restrictions, exclusions, or opt-out requirements are applied?</t>
  </si>
  <si>
    <t>Does the service process PHI and PII that can be attributed to specific patients, users, or healthcare organizations?</t>
  </si>
  <si>
    <t>Has the vendor established and documented retention periods for PHI and/or PII transmitted, processed, or stored through system integrations, APIs, or other interfaces?</t>
  </si>
  <si>
    <t>Does your organization have a defined process and timeframe for secure deletion of PHI and PII, including deletion from backups and disaster recovery systems?</t>
  </si>
  <si>
    <t>Can PHI and PII storage and processing be restricted to specific regions, countries, or jurisdictions?</t>
  </si>
  <si>
    <t>Are documented data retention schedules reviewed and approved periodically to ensure continued compliance with legal, regulatory, and contractual requirements?</t>
  </si>
  <si>
    <t>Can you provide confirmation or evidence when PHI and PII has been deleted following a customer request?</t>
  </si>
  <si>
    <t>Has the vendor identified and documented all AI, machine learning, and foundational models used to provide the service, including model names, providers, and versions?</t>
  </si>
  <si>
    <t>Does the service rely on one or more Large Language Models (LLMs), machine learning models, predictive analytics models, generative AI models, or other AI technologies?</t>
  </si>
  <si>
    <t>Are the AI models used by the service proprietary, open-source, third-party provided, vendor-developed, or a combination thereof?</t>
  </si>
  <si>
    <t>Is PHI, PII, ePHI, or customer healthcare data used to train, fine-tune, benchmark, evaluate, or improve the model?</t>
  </si>
  <si>
    <t>Is frequency of model validation and testing defined and documented?</t>
  </si>
  <si>
    <t>Are vulnerability assessments, penetration tests, and security reviews performed in defined intervals?</t>
  </si>
  <si>
    <t>Are precaution measures in place to prevent unintentional leakage of private or sensitive information?</t>
  </si>
  <si>
    <t>Do you maintain a Business Continuity Plan (BCP) and Disaster Recovery (DR) plan to protect the availability of PHI and PII?</t>
  </si>
  <si>
    <t>Are audit logs maintained for access to PHI, PII and security-relevant activities?</t>
  </si>
  <si>
    <t>Is PHI and PII encrypted in transit and at rest using industry-standard encryption methods?</t>
  </si>
  <si>
    <t>Will you execute a Business Associate Agreement (BAA) if you create, receive, maintain, or transmit PHI and PII?</t>
  </si>
  <si>
    <t>Are ownership rights for customer data, PHI, PII, and AI-generated outputs clearly defined and documented within contractual agreements?</t>
  </si>
  <si>
    <t>Upon contract termination, can PHI or PII be returned and securely deleted, and can evidence of deletion be provided?</t>
  </si>
  <si>
    <t>Yes</t>
  </si>
  <si>
    <t>Partial (Explain)</t>
  </si>
  <si>
    <r>
      <t>Risk Score</t>
    </r>
    <r>
      <rPr>
        <b/>
        <sz val="11"/>
        <color rgb="FF494CDB"/>
        <rFont val="Arial"/>
        <family val="2"/>
      </rPr>
      <t xml:space="preserve"> (Total Scored Percentage)</t>
    </r>
  </si>
  <si>
    <t>Overall Risk Score (weighted)</t>
  </si>
  <si>
    <t>Risk Rating  (weighted)</t>
  </si>
  <si>
    <t>AI Vendor Evaluation - Internal Stakeholder Questionnaire</t>
  </si>
  <si>
    <t>AI Vendor Evaluation - Vendor Questionnaire</t>
  </si>
  <si>
    <t>AI Vendor Evaluation - Final Report</t>
  </si>
  <si>
    <t>Purpose of this Sheet:</t>
  </si>
  <si>
    <t>This sheet calculates the score for each assessment category based on responses provided in the Stakeholder and Vendor Questionnaires.</t>
  </si>
  <si>
    <t>How Scores Are Calculated</t>
  </si>
  <si>
    <r>
      <rPr>
        <b/>
        <sz val="11"/>
        <color theme="0"/>
        <rFont val="Arial"/>
        <family val="2"/>
      </rPr>
      <t>Yes</t>
    </r>
    <r>
      <rPr>
        <sz val="11"/>
        <color theme="0"/>
        <rFont val="Arial"/>
        <family val="2"/>
      </rPr>
      <t xml:space="preserve"> </t>
    </r>
    <r>
      <rPr>
        <sz val="11"/>
        <color theme="0"/>
        <rFont val="Calibri"/>
        <family val="2"/>
        <scheme val="minor"/>
      </rPr>
      <t>= 1 and counted as part of the total</t>
    </r>
  </si>
  <si>
    <r>
      <rPr>
        <b/>
        <sz val="11"/>
        <color theme="0"/>
        <rFont val="Arial"/>
        <family val="2"/>
      </rPr>
      <t>No</t>
    </r>
    <r>
      <rPr>
        <sz val="11"/>
        <color theme="0"/>
        <rFont val="Arial"/>
        <family val="2"/>
      </rPr>
      <t xml:space="preserve"> </t>
    </r>
    <r>
      <rPr>
        <sz val="11"/>
        <color theme="0"/>
        <rFont val="Calibri"/>
        <family val="2"/>
        <scheme val="minor"/>
      </rPr>
      <t>= 0 and counted as part of the total</t>
    </r>
  </si>
  <si>
    <r>
      <rPr>
        <b/>
        <sz val="11"/>
        <color theme="0"/>
        <rFont val="Arial"/>
        <family val="2"/>
      </rPr>
      <t>Partial</t>
    </r>
    <r>
      <rPr>
        <b/>
        <sz val="11"/>
        <color theme="0"/>
        <rFont val="Calibri"/>
        <family val="2"/>
        <scheme val="minor"/>
      </rPr>
      <t xml:space="preserve"> </t>
    </r>
    <r>
      <rPr>
        <sz val="11"/>
        <color theme="0"/>
        <rFont val="Calibri"/>
        <family val="2"/>
        <scheme val="minor"/>
      </rPr>
      <t>= 0.5 and counted as part of the total</t>
    </r>
  </si>
  <si>
    <r>
      <rPr>
        <b/>
        <sz val="11"/>
        <color theme="0"/>
        <rFont val="Arial"/>
        <family val="2"/>
      </rPr>
      <t xml:space="preserve">N/A </t>
    </r>
    <r>
      <rPr>
        <sz val="11"/>
        <color theme="0"/>
        <rFont val="Calibri"/>
        <family val="2"/>
        <scheme val="minor"/>
      </rPr>
      <t>= Excluded from scoring and not counted in the total.</t>
    </r>
  </si>
  <si>
    <t>The total score for each category is converted into a percentage and automatically transferred to the 'Reference Score' sheet.</t>
  </si>
  <si>
    <t>The Risk Score represents the combined percentage achieved across all assessment categories before category weightings are applied.</t>
  </si>
  <si>
    <t>This score may be higher than the Overall Risk Score shown in the Assessment Model sheet because the Overall Risk Score applies category-specific weightings to reflect the relative importance of each assessment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</si>
</sst>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0%"/>
  </numFmts>
  <fonts count="44">
    <font>
      <sz val="11"/>
      <color theme="1"/>
      <name val="Calibri"/>
      <scheme val="minor"/>
    </font>
    <font>
      <sz val="11"/>
      <color theme="1"/>
      <name val="Arial"/>
      <family val="2"/>
    </font>
    <font>
      <sz val="12"/>
      <color theme="1"/>
      <name val="Arial"/>
      <family val="2"/>
    </font>
    <font>
      <sz val="9"/>
      <color theme="1"/>
      <name val="Arial"/>
      <family val="2"/>
    </font>
    <font>
      <b/>
      <sz val="11"/>
      <name val="Arial"/>
      <family val="2"/>
    </font>
    <font>
      <b/>
      <sz val="9"/>
      <color theme="1"/>
      <name val="Arial"/>
      <family val="2"/>
    </font>
    <font>
      <b/>
      <sz val="11"/>
      <color theme="1"/>
      <name val="Arial"/>
      <family val="2"/>
    </font>
    <font>
      <sz val="9"/>
      <name val="Arial"/>
      <family val="2"/>
    </font>
    <font>
      <b/>
      <sz val="14"/>
      <color theme="1"/>
      <name val="Arial"/>
      <family val="2"/>
    </font>
    <font>
      <b/>
      <i/>
      <sz val="14"/>
      <name val="Arial"/>
      <family val="2"/>
    </font>
    <font>
      <sz val="10"/>
      <color theme="1"/>
      <name val="Arial"/>
      <family val="2"/>
    </font>
    <font>
      <b/>
      <sz val="24"/>
      <color rgb="FF494CDB"/>
      <name val="Arial"/>
      <family val="2"/>
    </font>
    <font>
      <b/>
      <sz val="10"/>
      <color theme="1"/>
      <name val="Arial"/>
      <family val="2"/>
    </font>
    <font>
      <b/>
      <sz val="11"/>
      <color rgb="FF231F20"/>
      <name val="Arial"/>
      <family val="2"/>
    </font>
    <font>
      <sz val="9"/>
      <color rgb="FF231F20"/>
      <name val="Arial"/>
      <family val="2"/>
    </font>
    <font>
      <b/>
      <sz val="10"/>
      <color theme="2"/>
      <name val="Arial"/>
      <family val="2"/>
    </font>
    <font>
      <sz val="9"/>
      <color theme="2"/>
      <name val="Arial"/>
      <family val="2"/>
    </font>
    <font>
      <sz val="11"/>
      <color theme="2"/>
      <name val="Arial"/>
      <family val="2"/>
    </font>
    <font>
      <b/>
      <sz val="12"/>
      <color theme="1"/>
      <name val="Arial"/>
      <family val="2"/>
    </font>
    <font>
      <b/>
      <sz val="12"/>
      <name val="Arial"/>
      <family val="2"/>
    </font>
    <font>
      <b/>
      <sz val="9"/>
      <color theme="2"/>
      <name val="Arial"/>
      <family val="2"/>
    </font>
    <font>
      <b/>
      <sz val="14"/>
      <color rgb="FF231F20"/>
      <name val="Arial"/>
      <family val="2"/>
    </font>
    <font>
      <sz val="10"/>
      <color rgb="FF231F20"/>
      <name val="Arial"/>
      <family val="2"/>
    </font>
    <font>
      <b/>
      <i/>
      <sz val="14"/>
      <color rgb="FF231F20"/>
      <name val="Arial"/>
      <family val="2"/>
    </font>
    <font>
      <b/>
      <sz val="14"/>
      <color rgb="FF494CDB"/>
      <name val="Arial"/>
      <family val="2"/>
    </font>
    <font>
      <b/>
      <sz val="11"/>
      <name val="Calibri"/>
      <family val="2"/>
    </font>
    <font>
      <sz val="14"/>
      <color rgb="FF000000"/>
      <name val="-webkit-standard"/>
    </font>
    <font>
      <sz val="8"/>
      <name val="Calibri"/>
      <family val="2"/>
      <scheme val="minor"/>
    </font>
    <font>
      <b/>
      <i/>
      <sz val="12"/>
      <name val="Arial"/>
      <family val="2"/>
    </font>
    <font>
      <b/>
      <i/>
      <sz val="11"/>
      <color theme="1"/>
      <name val="Arial"/>
      <family val="2"/>
    </font>
    <font>
      <sz val="11"/>
      <color theme="1"/>
      <name val="Calibri"/>
      <family val="2"/>
      <scheme val="minor"/>
    </font>
    <font>
      <b/>
      <sz val="11"/>
      <color rgb="FF000000"/>
      <name val="Calibri"/>
      <family val="2"/>
      <scheme val="minor"/>
    </font>
    <font>
      <b/>
      <sz val="11"/>
      <color theme="1"/>
      <name val="Calibri"/>
      <family val="2"/>
      <scheme val="minor"/>
    </font>
    <font>
      <b/>
      <sz val="14"/>
      <color theme="1"/>
      <name val="Calibri"/>
      <family val="2"/>
      <scheme val="minor"/>
    </font>
    <font>
      <sz val="11"/>
      <color rgb="FF000000"/>
      <name val="Calibri"/>
      <family val="2"/>
      <scheme val="minor"/>
    </font>
    <font>
      <b/>
      <i/>
      <sz val="11"/>
      <name val="Arial"/>
      <family val="2"/>
    </font>
    <font>
      <b/>
      <sz val="11"/>
      <color rgb="FF494CDB"/>
      <name val="Arial"/>
      <family val="2"/>
    </font>
    <font>
      <sz val="24"/>
      <color theme="1"/>
      <name val="Calibri"/>
      <family val="2"/>
      <scheme val="minor"/>
    </font>
    <font>
      <b/>
      <sz val="14"/>
      <color theme="2"/>
      <name val="Arial"/>
      <family val="2"/>
    </font>
    <font>
      <sz val="11"/>
      <color theme="0"/>
      <name val="Arial"/>
      <family val="2"/>
    </font>
    <font>
      <b/>
      <sz val="14"/>
      <color theme="0"/>
      <name val="Arial"/>
      <family val="2"/>
    </font>
    <font>
      <b/>
      <sz val="11"/>
      <color theme="0"/>
      <name val="Arial"/>
      <family val="2"/>
    </font>
    <font>
      <sz val="11"/>
      <color theme="0"/>
      <name val="Calibri"/>
      <family val="2"/>
      <scheme val="minor"/>
    </font>
    <font>
      <b/>
      <sz val="11"/>
      <color theme="0"/>
      <name val="Calibri"/>
      <family val="2"/>
      <scheme val="minor"/>
    </font>
  </fonts>
  <fills count="13">
    <fill>
      <patternFill patternType="none"/>
    </fill>
    <fill>
      <patternFill patternType="gray125"/>
    </fill>
    <fill>
      <patternFill patternType="solid">
        <fgColor theme="2" tint="-0.149998474074526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E0E0FA"/>
        <bgColor indexed="64"/>
      </patternFill>
    </fill>
    <fill>
      <patternFill patternType="solid">
        <fgColor rgb="FFABADED"/>
        <bgColor indexed="64"/>
      </patternFill>
    </fill>
    <fill>
      <patternFill patternType="solid">
        <fgColor rgb="FFBFBFBF"/>
        <bgColor rgb="FF00000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0000"/>
        <bgColor indexed="64"/>
      </patternFill>
    </fill>
    <fill>
      <patternFill patternType="solid">
        <fgColor rgb="FFED7E5C"/>
        <bgColor indexed="64"/>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auto="1"/>
      </top>
      <bottom style="thin">
        <color auto="1"/>
      </bottom>
      <diagonal/>
    </border>
    <border>
      <left style="thin">
        <color indexed="64"/>
      </left>
      <right/>
      <top style="thin">
        <color auto="1"/>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rgb="FF000000"/>
      </right>
      <top style="thin">
        <color theme="1"/>
      </top>
      <bottom style="thin">
        <color auto="1"/>
      </bottom>
      <diagonal/>
    </border>
    <border>
      <left style="thin">
        <color indexed="64"/>
      </left>
      <right/>
      <top style="thin">
        <color theme="1"/>
      </top>
      <bottom style="thin">
        <color auto="1"/>
      </bottom>
      <diagonal/>
    </border>
    <border>
      <left style="thin">
        <color indexed="64"/>
      </left>
      <right style="thin">
        <color indexed="64"/>
      </right>
      <top style="thin">
        <color auto="1"/>
      </top>
      <bottom style="thin">
        <color auto="1"/>
      </bottom>
      <diagonal/>
    </border>
    <border>
      <left/>
      <right style="thin">
        <color indexed="64"/>
      </right>
      <top style="thin">
        <color auto="1"/>
      </top>
      <bottom style="thin">
        <color auto="1"/>
      </bottom>
      <diagonal/>
    </border>
    <border>
      <left/>
      <right/>
      <top style="thin">
        <color theme="1"/>
      </top>
      <bottom style="thin">
        <color auto="1"/>
      </bottom>
      <diagonal/>
    </border>
    <border>
      <left style="thin">
        <color indexed="64"/>
      </left>
      <right style="thin">
        <color indexed="64"/>
      </right>
      <top/>
      <bottom style="thin">
        <color auto="1"/>
      </bottom>
      <diagonal/>
    </border>
    <border>
      <left/>
      <right/>
      <top style="thin">
        <color auto="1"/>
      </top>
      <bottom style="thin">
        <color auto="1"/>
      </bottom>
      <diagonal/>
    </border>
    <border>
      <left/>
      <right/>
      <top/>
      <bottom style="thin">
        <color auto="1"/>
      </bottom>
      <diagonal/>
    </border>
    <border>
      <left/>
      <right style="thin">
        <color indexed="64"/>
      </right>
      <top/>
      <bottom style="thin">
        <color auto="1"/>
      </bottom>
      <diagonal/>
    </border>
    <border>
      <left/>
      <right/>
      <top style="thin">
        <color auto="1"/>
      </top>
      <bottom/>
      <diagonal/>
    </border>
    <border>
      <left/>
      <right style="thin">
        <color indexed="64"/>
      </right>
      <top style="thin">
        <color auto="1"/>
      </top>
      <bottom/>
      <diagonal/>
    </border>
    <border>
      <left/>
      <right style="thin">
        <color theme="1"/>
      </right>
      <top style="thin">
        <color auto="1"/>
      </top>
      <bottom style="thin">
        <color auto="1"/>
      </bottom>
      <diagonal/>
    </border>
    <border>
      <left style="thin">
        <color rgb="FF000000"/>
      </left>
      <right style="thin">
        <color rgb="FF000000"/>
      </right>
      <top style="thin">
        <color rgb="FF000000"/>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top style="thin">
        <color theme="1"/>
      </top>
      <bottom/>
      <diagonal/>
    </border>
    <border>
      <left style="thin">
        <color theme="1"/>
      </left>
      <right style="thin">
        <color rgb="FF000000"/>
      </right>
      <top style="thin">
        <color rgb="FF000000"/>
      </top>
      <bottom style="thin">
        <color rgb="FF000000"/>
      </bottom>
      <diagonal/>
    </border>
    <border>
      <left/>
      <right/>
      <top/>
      <bottom style="thin">
        <color theme="1"/>
      </bottom>
      <diagonal/>
    </border>
    <border>
      <left/>
      <right style="thin">
        <color indexed="64"/>
      </right>
      <top/>
      <bottom style="thin">
        <color theme="1"/>
      </bottom>
      <diagonal/>
    </border>
  </borders>
  <cellStyleXfs count="1">
    <xf numFmtId="0" fontId="0" fillId="0" borderId="0"/>
  </cellStyleXfs>
  <cellXfs count="218">
    <xf numFmtId="0" fontId="0" fillId="0" borderId="0" xfId="0"/>
    <xf numFmtId="0" fontId="1" fillId="0" borderId="0" xfId="0" applyFont="1"/>
    <xf numFmtId="0" fontId="10" fillId="0" borderId="0" xfId="0" applyFont="1"/>
    <xf numFmtId="0" fontId="10" fillId="0" borderId="0" xfId="0" applyFont="1" applyAlignment="1">
      <alignment wrapText="1"/>
    </xf>
    <xf numFmtId="0" fontId="3" fillId="0" borderId="1" xfId="0" applyFont="1" applyBorder="1" applyAlignment="1">
      <alignment horizontal="lef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14" fillId="0" borderId="11" xfId="0" applyFont="1" applyBorder="1" applyAlignment="1">
      <alignment horizontal="left" vertical="center" wrapText="1"/>
    </xf>
    <xf numFmtId="0" fontId="25" fillId="0" borderId="0" xfId="0" applyFont="1"/>
    <xf numFmtId="0" fontId="3" fillId="0" borderId="11" xfId="0" applyFont="1" applyBorder="1" applyAlignment="1">
      <alignment horizontal="center" vertical="center"/>
    </xf>
    <xf numFmtId="0" fontId="10" fillId="0" borderId="0" xfId="0" applyFont="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4" borderId="7" xfId="0" applyFont="1" applyFill="1" applyBorder="1" applyAlignment="1">
      <alignment horizontal="center" vertical="center"/>
    </xf>
    <xf numFmtId="49" fontId="18" fillId="3" borderId="11" xfId="0" applyNumberFormat="1" applyFont="1" applyFill="1" applyBorder="1" applyAlignment="1">
      <alignment horizontal="center" vertical="center"/>
    </xf>
    <xf numFmtId="49" fontId="3" fillId="0" borderId="11" xfId="0" applyNumberFormat="1" applyFont="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16" fillId="0" borderId="0" xfId="0" applyFont="1" applyAlignment="1">
      <alignment horizontal="center" vertical="center"/>
    </xf>
    <xf numFmtId="49" fontId="6" fillId="3" borderId="11" xfId="0" applyNumberFormat="1" applyFont="1" applyFill="1" applyBorder="1" applyAlignment="1">
      <alignment horizontal="center" vertical="center"/>
    </xf>
    <xf numFmtId="49" fontId="3" fillId="0" borderId="14" xfId="0" applyNumberFormat="1" applyFont="1" applyBorder="1" applyAlignment="1">
      <alignment horizontal="center" vertical="center"/>
    </xf>
    <xf numFmtId="0" fontId="3" fillId="0" borderId="15" xfId="0" quotePrefix="1" applyFont="1" applyBorder="1" applyAlignment="1">
      <alignment horizontal="center" vertical="center"/>
    </xf>
    <xf numFmtId="0" fontId="12" fillId="0" borderId="0" xfId="0" applyFont="1" applyAlignment="1">
      <alignment horizontal="left" vertical="center" wrapText="1"/>
    </xf>
    <xf numFmtId="0" fontId="4" fillId="3" borderId="18" xfId="0" applyFont="1" applyFill="1" applyBorder="1" applyAlignment="1">
      <alignment horizontal="right" vertical="center"/>
    </xf>
    <xf numFmtId="0" fontId="4" fillId="3" borderId="0" xfId="0" applyFont="1" applyFill="1" applyAlignment="1">
      <alignment horizontal="right" vertical="center"/>
    </xf>
    <xf numFmtId="0" fontId="15" fillId="4" borderId="0" xfId="0" applyFont="1" applyFill="1" applyAlignment="1">
      <alignment horizontal="left" vertical="center"/>
    </xf>
    <xf numFmtId="0" fontId="16" fillId="4" borderId="0" xfId="0" applyFont="1" applyFill="1" applyAlignment="1">
      <alignment horizontal="left" vertical="center"/>
    </xf>
    <xf numFmtId="0" fontId="3" fillId="0" borderId="11" xfId="0" applyFont="1" applyBorder="1" applyAlignment="1">
      <alignment horizontal="left" vertical="center" wrapText="1"/>
    </xf>
    <xf numFmtId="0" fontId="10" fillId="0" borderId="0" xfId="0" applyFont="1" applyAlignment="1">
      <alignment vertical="center" wrapText="1"/>
    </xf>
    <xf numFmtId="0" fontId="3" fillId="0" borderId="14" xfId="0" applyFont="1" applyBorder="1" applyAlignment="1">
      <alignment vertical="center" wrapText="1"/>
    </xf>
    <xf numFmtId="0" fontId="3" fillId="0" borderId="14" xfId="0" applyFont="1" applyBorder="1" applyAlignment="1">
      <alignment horizontal="left" vertical="center" wrapText="1"/>
    </xf>
    <xf numFmtId="0" fontId="3" fillId="0" borderId="11" xfId="0" applyFont="1" applyBorder="1" applyAlignment="1">
      <alignment vertical="center" wrapText="1"/>
    </xf>
    <xf numFmtId="0" fontId="3"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wrapText="1"/>
    </xf>
    <xf numFmtId="0" fontId="16" fillId="0" borderId="0" xfId="0" applyFont="1" applyAlignment="1">
      <alignment horizontal="left" vertical="center"/>
    </xf>
    <xf numFmtId="0" fontId="5" fillId="0" borderId="0" xfId="0" applyFont="1" applyAlignment="1">
      <alignment horizontal="left" vertical="center"/>
    </xf>
    <xf numFmtId="0" fontId="20" fillId="0" borderId="0" xfId="0" applyFont="1" applyAlignment="1">
      <alignment vertical="center"/>
    </xf>
    <xf numFmtId="49" fontId="6" fillId="3" borderId="11" xfId="0" applyNumberFormat="1" applyFont="1" applyFill="1" applyBorder="1" applyAlignment="1">
      <alignment vertical="center" wrapText="1"/>
    </xf>
    <xf numFmtId="49" fontId="5" fillId="3" borderId="11" xfId="0" applyNumberFormat="1" applyFont="1" applyFill="1" applyBorder="1" applyAlignment="1">
      <alignment horizontal="left" vertical="center" wrapText="1"/>
    </xf>
    <xf numFmtId="0" fontId="20" fillId="0" borderId="0" xfId="0" applyFont="1" applyAlignment="1">
      <alignment horizontal="left" vertical="center"/>
    </xf>
    <xf numFmtId="0" fontId="3" fillId="0" borderId="15" xfId="0" quotePrefix="1" applyFont="1" applyBorder="1" applyAlignment="1">
      <alignment vertical="center" wrapText="1"/>
    </xf>
    <xf numFmtId="0" fontId="3" fillId="0" borderId="15" xfId="0" quotePrefix="1" applyFont="1" applyBorder="1" applyAlignment="1">
      <alignment horizontal="left" vertical="center" wrapText="1"/>
    </xf>
    <xf numFmtId="49" fontId="3" fillId="0" borderId="11" xfId="0" applyNumberFormat="1" applyFont="1" applyBorder="1" applyAlignment="1">
      <alignment horizontal="left" vertical="center" wrapText="1"/>
    </xf>
    <xf numFmtId="49" fontId="3" fillId="0" borderId="11" xfId="0" applyNumberFormat="1" applyFont="1" applyBorder="1" applyAlignment="1">
      <alignment vertical="center" wrapText="1"/>
    </xf>
    <xf numFmtId="0" fontId="10" fillId="0" borderId="0" xfId="0" applyFont="1" applyAlignment="1">
      <alignment vertical="center"/>
    </xf>
    <xf numFmtId="0" fontId="1" fillId="3" borderId="3" xfId="0" applyFont="1" applyFill="1" applyBorder="1" applyAlignment="1">
      <alignment vertical="center"/>
    </xf>
    <xf numFmtId="0" fontId="13" fillId="3" borderId="18" xfId="0" applyFont="1" applyFill="1" applyBorder="1" applyAlignment="1">
      <alignment horizontal="right" vertical="center"/>
    </xf>
    <xf numFmtId="0" fontId="1" fillId="3" borderId="7" xfId="0" applyFont="1" applyFill="1" applyBorder="1" applyAlignment="1">
      <alignment vertical="center"/>
    </xf>
    <xf numFmtId="0" fontId="13" fillId="3" borderId="0" xfId="0" applyFont="1" applyFill="1" applyAlignment="1">
      <alignment horizontal="right" vertical="center"/>
    </xf>
    <xf numFmtId="0" fontId="1" fillId="4" borderId="7" xfId="0" applyFont="1" applyFill="1" applyBorder="1" applyAlignment="1">
      <alignment vertical="center"/>
    </xf>
    <xf numFmtId="14" fontId="16" fillId="4" borderId="0" xfId="0" applyNumberFormat="1" applyFont="1" applyFill="1" applyAlignment="1">
      <alignment horizontal="left" vertical="center"/>
    </xf>
    <xf numFmtId="14" fontId="16" fillId="4" borderId="4" xfId="0" applyNumberFormat="1" applyFont="1" applyFill="1" applyBorder="1" applyAlignment="1">
      <alignment horizontal="left" vertical="center"/>
    </xf>
    <xf numFmtId="0" fontId="17" fillId="4" borderId="0" xfId="0" applyFont="1" applyFill="1" applyAlignment="1">
      <alignment vertical="center"/>
    </xf>
    <xf numFmtId="0" fontId="17" fillId="4" borderId="4" xfId="0" applyFont="1" applyFill="1" applyBorder="1" applyAlignment="1">
      <alignment vertical="center"/>
    </xf>
    <xf numFmtId="0" fontId="14" fillId="5" borderId="11" xfId="0" applyFont="1" applyFill="1" applyBorder="1" applyAlignment="1" applyProtection="1">
      <alignment vertical="center" wrapText="1"/>
      <protection locked="0"/>
    </xf>
    <xf numFmtId="0" fontId="14" fillId="0" borderId="11" xfId="0" applyFont="1" applyBorder="1" applyAlignment="1" applyProtection="1">
      <alignment horizontal="left" vertical="center" wrapText="1"/>
      <protection locked="0"/>
    </xf>
    <xf numFmtId="0" fontId="3" fillId="5" borderId="5" xfId="0" applyFont="1" applyFill="1" applyBorder="1" applyAlignment="1" applyProtection="1">
      <alignment vertical="center" wrapText="1"/>
      <protection locked="0"/>
    </xf>
    <xf numFmtId="0" fontId="1" fillId="5" borderId="11" xfId="0" applyFont="1" applyFill="1" applyBorder="1" applyAlignment="1" applyProtection="1">
      <alignment vertical="center"/>
      <protection locked="0"/>
    </xf>
    <xf numFmtId="49" fontId="6" fillId="3" borderId="2" xfId="0" applyNumberFormat="1" applyFont="1" applyFill="1" applyBorder="1" applyAlignment="1">
      <alignment horizontal="center" vertical="center" wrapText="1"/>
    </xf>
    <xf numFmtId="0" fontId="1" fillId="5" borderId="12" xfId="0" applyFont="1" applyFill="1" applyBorder="1" applyAlignment="1" applyProtection="1">
      <alignment vertical="center"/>
      <protection locked="0"/>
    </xf>
    <xf numFmtId="0" fontId="24" fillId="6" borderId="2" xfId="0" applyFont="1" applyFill="1" applyBorder="1" applyAlignment="1">
      <alignment horizontal="center" vertical="center" wrapText="1"/>
    </xf>
    <xf numFmtId="0" fontId="31" fillId="7" borderId="11" xfId="0" applyFont="1" applyFill="1" applyBorder="1" applyAlignment="1">
      <alignment horizontal="center" vertical="center" wrapText="1"/>
    </xf>
    <xf numFmtId="0" fontId="31" fillId="7" borderId="12" xfId="0" applyFont="1" applyFill="1" applyBorder="1" applyAlignment="1">
      <alignment horizontal="center" vertical="center" wrapText="1"/>
    </xf>
    <xf numFmtId="0" fontId="24" fillId="6" borderId="13" xfId="0" applyFont="1" applyFill="1" applyBorder="1" applyAlignment="1">
      <alignment vertical="center" wrapText="1"/>
    </xf>
    <xf numFmtId="0" fontId="0" fillId="0" borderId="0" xfId="0" applyAlignment="1">
      <alignment horizontal="center" vertical="center"/>
    </xf>
    <xf numFmtId="0" fontId="0" fillId="0" borderId="0" xfId="0" applyAlignment="1">
      <alignment vertical="top"/>
    </xf>
    <xf numFmtId="0" fontId="30" fillId="0" borderId="0" xfId="0" applyFont="1"/>
    <xf numFmtId="0" fontId="0" fillId="0" borderId="0" xfId="0" applyAlignment="1">
      <alignment horizontal="left" vertical="top"/>
    </xf>
    <xf numFmtId="0" fontId="0" fillId="8" borderId="0" xfId="0" applyFill="1" applyAlignment="1">
      <alignment vertical="center"/>
    </xf>
    <xf numFmtId="0" fontId="32" fillId="0" borderId="11" xfId="0" applyFont="1" applyBorder="1" applyAlignment="1">
      <alignment horizontal="center" vertical="center"/>
    </xf>
    <xf numFmtId="2" fontId="0" fillId="0" borderId="15" xfId="0" applyNumberFormat="1" applyBorder="1" applyAlignment="1">
      <alignment horizontal="center" vertical="center"/>
    </xf>
    <xf numFmtId="0" fontId="0" fillId="0" borderId="15" xfId="0" applyBorder="1" applyAlignment="1">
      <alignment horizontal="center" vertical="center"/>
    </xf>
    <xf numFmtId="0" fontId="0" fillId="10" borderId="0" xfId="0" applyFill="1" applyAlignment="1">
      <alignment vertical="center"/>
    </xf>
    <xf numFmtId="0" fontId="18" fillId="3" borderId="11" xfId="0" applyFont="1" applyFill="1" applyBorder="1" applyAlignment="1">
      <alignment horizontal="center" vertical="center"/>
    </xf>
    <xf numFmtId="0" fontId="3" fillId="0" borderId="14" xfId="0" applyFont="1" applyBorder="1" applyAlignment="1">
      <alignment horizontal="center" vertical="center"/>
    </xf>
    <xf numFmtId="2" fontId="0" fillId="0" borderId="18" xfId="0" applyNumberFormat="1" applyBorder="1" applyAlignment="1">
      <alignment horizontal="center" vertical="center"/>
    </xf>
    <xf numFmtId="0" fontId="0" fillId="0" borderId="18" xfId="0" applyBorder="1" applyAlignment="1">
      <alignment horizontal="center" vertical="center"/>
    </xf>
    <xf numFmtId="0" fontId="1" fillId="0" borderId="21" xfId="0" applyFont="1" applyBorder="1" applyAlignment="1">
      <alignment wrapText="1"/>
    </xf>
    <xf numFmtId="0" fontId="14" fillId="0" borderId="11" xfId="0" applyFont="1" applyBorder="1" applyAlignment="1">
      <alignment horizontal="left" vertical="center"/>
    </xf>
    <xf numFmtId="0" fontId="3" fillId="0" borderId="8" xfId="0" applyFont="1" applyBorder="1" applyAlignment="1">
      <alignment horizontal="center" vertical="center"/>
    </xf>
    <xf numFmtId="0" fontId="33" fillId="0" borderId="0" xfId="0" applyFont="1" applyAlignment="1">
      <alignment vertical="center" wrapText="1"/>
    </xf>
    <xf numFmtId="10" fontId="34" fillId="0" borderId="0" xfId="0" applyNumberFormat="1" applyFont="1"/>
    <xf numFmtId="9" fontId="34" fillId="0" borderId="0" xfId="0" applyNumberFormat="1" applyFont="1"/>
    <xf numFmtId="0" fontId="31" fillId="0" borderId="3" xfId="0" applyFont="1" applyBorder="1"/>
    <xf numFmtId="0" fontId="31" fillId="0" borderId="18" xfId="0" applyFont="1" applyBorder="1"/>
    <xf numFmtId="0" fontId="31" fillId="0" borderId="19" xfId="0" applyFont="1" applyBorder="1"/>
    <xf numFmtId="0" fontId="34" fillId="0" borderId="7" xfId="0" applyFont="1" applyBorder="1"/>
    <xf numFmtId="10" fontId="34" fillId="0" borderId="4" xfId="0" applyNumberFormat="1" applyFont="1" applyBorder="1"/>
    <xf numFmtId="164" fontId="34" fillId="0" borderId="4" xfId="0" applyNumberFormat="1" applyFont="1" applyBorder="1"/>
    <xf numFmtId="165" fontId="34" fillId="0" borderId="4" xfId="0" applyNumberFormat="1" applyFont="1" applyBorder="1"/>
    <xf numFmtId="0" fontId="34" fillId="0" borderId="22" xfId="0" applyFont="1" applyBorder="1"/>
    <xf numFmtId="0" fontId="34" fillId="0" borderId="22" xfId="0" applyFont="1" applyBorder="1" applyAlignment="1">
      <alignment horizontal="left"/>
    </xf>
    <xf numFmtId="0" fontId="34" fillId="0" borderId="0" xfId="0" applyFont="1"/>
    <xf numFmtId="0" fontId="34" fillId="0" borderId="4" xfId="0" applyFont="1" applyBorder="1"/>
    <xf numFmtId="0" fontId="26"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30" fillId="9" borderId="0" xfId="0" applyFont="1" applyFill="1" applyAlignment="1">
      <alignment vertical="center"/>
    </xf>
    <xf numFmtId="0" fontId="30" fillId="11" borderId="0" xfId="0" applyFont="1" applyFill="1"/>
    <xf numFmtId="0" fontId="30" fillId="12" borderId="0" xfId="0" applyFont="1" applyFill="1" applyAlignment="1">
      <alignment vertical="center"/>
    </xf>
    <xf numFmtId="0" fontId="7" fillId="0" borderId="26" xfId="0" applyFont="1" applyBorder="1" applyAlignment="1">
      <alignment horizontal="left" vertical="center" wrapText="1"/>
    </xf>
    <xf numFmtId="0" fontId="7" fillId="0" borderId="25" xfId="0" applyFont="1" applyBorder="1" applyAlignment="1">
      <alignment horizontal="left" vertical="center" wrapText="1"/>
    </xf>
    <xf numFmtId="0" fontId="3" fillId="0" borderId="26" xfId="0" applyFont="1" applyBorder="1" applyAlignment="1">
      <alignment horizontal="left" vertical="center" wrapText="1"/>
    </xf>
    <xf numFmtId="0" fontId="1" fillId="0" borderId="1" xfId="0" applyFont="1" applyBorder="1" applyAlignment="1">
      <alignment wrapText="1"/>
    </xf>
    <xf numFmtId="49" fontId="21" fillId="3" borderId="11" xfId="0" applyNumberFormat="1" applyFont="1" applyFill="1" applyBorder="1" applyAlignment="1">
      <alignment horizontal="center" vertical="center"/>
    </xf>
    <xf numFmtId="0" fontId="22" fillId="0" borderId="11" xfId="0" applyFont="1" applyBorder="1" applyAlignment="1">
      <alignment horizontal="center" vertical="center"/>
    </xf>
    <xf numFmtId="49" fontId="8" fillId="3" borderId="11" xfId="0" applyNumberFormat="1" applyFont="1" applyFill="1" applyBorder="1" applyAlignment="1">
      <alignment horizontal="center" vertical="center"/>
    </xf>
    <xf numFmtId="49" fontId="10" fillId="0" borderId="11" xfId="0" applyNumberFormat="1" applyFont="1" applyBorder="1" applyAlignment="1">
      <alignment horizontal="center" vertical="center"/>
    </xf>
    <xf numFmtId="0" fontId="10" fillId="0" borderId="11" xfId="0" applyFont="1" applyBorder="1" applyAlignment="1">
      <alignment horizontal="center" vertical="center"/>
    </xf>
    <xf numFmtId="49" fontId="21" fillId="3" borderId="11" xfId="0" applyNumberFormat="1" applyFont="1" applyFill="1" applyBorder="1" applyAlignment="1">
      <alignment horizontal="center"/>
    </xf>
    <xf numFmtId="0" fontId="14" fillId="0" borderId="11" xfId="0" applyFont="1" applyBorder="1" applyAlignment="1">
      <alignment horizontal="center" vertical="center"/>
    </xf>
    <xf numFmtId="0" fontId="0" fillId="0" borderId="0" xfId="0" applyAlignment="1">
      <alignment horizontal="center"/>
    </xf>
    <xf numFmtId="0" fontId="8" fillId="3" borderId="11" xfId="0" applyFont="1" applyFill="1" applyBorder="1" applyAlignment="1">
      <alignment horizontal="center" vertical="center"/>
    </xf>
    <xf numFmtId="0" fontId="11" fillId="0" borderId="16" xfId="0" applyFont="1" applyBorder="1" applyAlignment="1">
      <alignment horizontal="left" vertical="center"/>
    </xf>
    <xf numFmtId="0" fontId="14" fillId="3" borderId="17" xfId="0" applyFont="1" applyFill="1" applyBorder="1" applyAlignment="1">
      <alignment horizontal="left" vertical="center"/>
    </xf>
    <xf numFmtId="0" fontId="0" fillId="0" borderId="17" xfId="0" applyBorder="1" applyAlignment="1">
      <alignment vertical="center"/>
    </xf>
    <xf numFmtId="0" fontId="14" fillId="3" borderId="12" xfId="0" applyFont="1" applyFill="1" applyBorder="1" applyAlignment="1">
      <alignment horizontal="left" vertical="center"/>
    </xf>
    <xf numFmtId="0" fontId="0" fillId="0" borderId="12" xfId="0" applyBorder="1" applyAlignment="1">
      <alignment vertical="center"/>
    </xf>
    <xf numFmtId="0" fontId="16" fillId="4" borderId="27" xfId="0" applyFont="1" applyFill="1" applyBorder="1" applyAlignment="1">
      <alignment horizontal="left" vertical="center"/>
    </xf>
    <xf numFmtId="0" fontId="16" fillId="4" borderId="28" xfId="0" applyFont="1" applyFill="1" applyBorder="1" applyAlignment="1">
      <alignment horizontal="left" vertical="center"/>
    </xf>
    <xf numFmtId="0" fontId="15" fillId="4" borderId="0" xfId="0" applyFont="1" applyFill="1" applyAlignment="1">
      <alignment horizontal="left" vertical="center"/>
    </xf>
    <xf numFmtId="0" fontId="15" fillId="4" borderId="4" xfId="0" applyFont="1" applyFill="1" applyBorder="1" applyAlignment="1">
      <alignment horizontal="left" vertical="center"/>
    </xf>
    <xf numFmtId="49" fontId="29" fillId="3" borderId="2" xfId="0" applyNumberFormat="1" applyFont="1" applyFill="1" applyBorder="1" applyAlignment="1">
      <alignment horizontal="left" vertical="center" wrapText="1"/>
    </xf>
    <xf numFmtId="49" fontId="29" fillId="3" borderId="15" xfId="0" applyNumberFormat="1" applyFont="1" applyFill="1" applyBorder="1" applyAlignment="1">
      <alignment horizontal="left" vertical="center" wrapText="1"/>
    </xf>
    <xf numFmtId="49" fontId="29" fillId="3" borderId="12" xfId="0" applyNumberFormat="1" applyFont="1" applyFill="1" applyBorder="1" applyAlignment="1">
      <alignment horizontal="left" vertical="center" wrapText="1"/>
    </xf>
    <xf numFmtId="0" fontId="19" fillId="3" borderId="11" xfId="0" applyFont="1" applyFill="1" applyBorder="1" applyAlignment="1">
      <alignment horizontal="left" vertical="center" wrapText="1"/>
    </xf>
    <xf numFmtId="0" fontId="9" fillId="2" borderId="2"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9" fillId="2" borderId="12" xfId="0" applyFont="1" applyFill="1" applyBorder="1" applyAlignment="1">
      <alignment horizontal="left" vertical="center" wrapText="1"/>
    </xf>
    <xf numFmtId="0" fontId="23" fillId="2" borderId="11" xfId="0" applyFont="1" applyFill="1" applyBorder="1" applyAlignment="1">
      <alignment horizontal="left" vertical="center" wrapText="1"/>
    </xf>
    <xf numFmtId="0" fontId="19" fillId="3" borderId="2" xfId="0" applyFont="1" applyFill="1" applyBorder="1" applyAlignment="1">
      <alignment horizontal="left" vertical="center" wrapText="1"/>
    </xf>
    <xf numFmtId="0" fontId="19" fillId="3" borderId="15" xfId="0" applyFont="1" applyFill="1" applyBorder="1" applyAlignment="1">
      <alignment horizontal="left" vertical="center" wrapText="1"/>
    </xf>
    <xf numFmtId="0" fontId="19" fillId="3" borderId="20" xfId="0" applyFont="1" applyFill="1" applyBorder="1" applyAlignment="1">
      <alignment horizontal="left" vertical="center" wrapText="1"/>
    </xf>
    <xf numFmtId="0" fontId="28" fillId="2" borderId="11" xfId="0" applyFont="1" applyFill="1" applyBorder="1" applyAlignment="1">
      <alignment horizontal="left" vertical="center" wrapText="1"/>
    </xf>
    <xf numFmtId="0" fontId="3" fillId="3" borderId="12" xfId="0" applyFont="1" applyFill="1" applyBorder="1" applyAlignment="1">
      <alignment horizontal="left" vertical="center"/>
    </xf>
    <xf numFmtId="0" fontId="11" fillId="0" borderId="11" xfId="0" applyFont="1" applyBorder="1" applyAlignment="1">
      <alignment horizontal="left" vertical="center" wrapText="1"/>
    </xf>
    <xf numFmtId="0" fontId="37" fillId="0" borderId="11" xfId="0" applyFont="1" applyBorder="1" applyAlignment="1">
      <alignment vertical="center"/>
    </xf>
    <xf numFmtId="0" fontId="37" fillId="0" borderId="2" xfId="0" applyFont="1" applyBorder="1" applyAlignment="1">
      <alignment vertical="center"/>
    </xf>
    <xf numFmtId="0" fontId="16" fillId="4" borderId="14" xfId="0" applyFont="1" applyFill="1" applyBorder="1" applyAlignment="1">
      <alignment horizontal="left" vertical="center"/>
    </xf>
    <xf numFmtId="0" fontId="0" fillId="0" borderId="16" xfId="0" applyBorder="1" applyAlignment="1">
      <alignment vertical="center"/>
    </xf>
    <xf numFmtId="0" fontId="20" fillId="4" borderId="5" xfId="0" applyFont="1" applyFill="1" applyBorder="1" applyAlignment="1">
      <alignment horizontal="left" vertical="center"/>
    </xf>
    <xf numFmtId="0" fontId="0" fillId="0" borderId="18" xfId="0" applyBorder="1" applyAlignment="1">
      <alignment vertical="center"/>
    </xf>
    <xf numFmtId="0" fontId="0" fillId="0" borderId="19" xfId="0" applyBorder="1" applyAlignment="1">
      <alignment vertical="center"/>
    </xf>
    <xf numFmtId="49" fontId="20" fillId="4" borderId="8" xfId="0" applyNumberFormat="1" applyFont="1" applyFill="1" applyBorder="1" applyAlignment="1">
      <alignment horizontal="left" vertical="center"/>
    </xf>
    <xf numFmtId="0" fontId="3" fillId="0" borderId="0" xfId="0" applyFont="1" applyAlignment="1">
      <alignment vertical="center" wrapText="1"/>
    </xf>
    <xf numFmtId="0" fontId="3" fillId="0" borderId="0" xfId="0" applyFont="1" applyAlignment="1">
      <alignment horizontal="left" vertical="center" wrapText="1"/>
    </xf>
    <xf numFmtId="0" fontId="0" fillId="0" borderId="4" xfId="0" applyBorder="1" applyAlignment="1">
      <alignment vertical="center"/>
    </xf>
    <xf numFmtId="0" fontId="24" fillId="6" borderId="13" xfId="0" applyFont="1" applyFill="1" applyBorder="1" applyAlignment="1">
      <alignment horizontal="left" vertical="center" wrapText="1"/>
    </xf>
    <xf numFmtId="0" fontId="24" fillId="6" borderId="12" xfId="0" applyFont="1" applyFill="1" applyBorder="1" applyAlignment="1">
      <alignment horizontal="left" vertical="center" wrapText="1"/>
    </xf>
    <xf numFmtId="0" fontId="24" fillId="6" borderId="11" xfId="0" applyFont="1" applyFill="1" applyBorder="1" applyAlignment="1">
      <alignment horizontal="left" vertical="center" wrapText="1"/>
    </xf>
    <xf numFmtId="0" fontId="16" fillId="4" borderId="7" xfId="0" applyFont="1" applyFill="1" applyBorder="1" applyAlignment="1">
      <alignment horizontal="left" vertical="center"/>
    </xf>
    <xf numFmtId="0" fontId="16" fillId="4" borderId="0" xfId="0" applyFont="1" applyFill="1" applyAlignment="1">
      <alignment horizontal="left" vertical="center"/>
    </xf>
    <xf numFmtId="0" fontId="16" fillId="4" borderId="4" xfId="0" applyFont="1" applyFill="1" applyBorder="1" applyAlignment="1">
      <alignment horizontal="left" vertical="center"/>
    </xf>
    <xf numFmtId="0" fontId="16" fillId="4" borderId="8" xfId="0" applyFont="1" applyFill="1" applyBorder="1" applyAlignment="1">
      <alignment horizontal="left" vertical="center"/>
    </xf>
    <xf numFmtId="0" fontId="35" fillId="2" borderId="2" xfId="0" applyFont="1" applyFill="1" applyBorder="1" applyAlignment="1">
      <alignment horizontal="left" vertical="center" wrapText="1"/>
    </xf>
    <xf numFmtId="0" fontId="35" fillId="2" borderId="15" xfId="0" applyFont="1" applyFill="1" applyBorder="1" applyAlignment="1">
      <alignment horizontal="left" vertical="center" wrapText="1"/>
    </xf>
    <xf numFmtId="0" fontId="35" fillId="2" borderId="12" xfId="0" applyFont="1" applyFill="1" applyBorder="1" applyAlignment="1">
      <alignment horizontal="left" vertical="center" wrapText="1"/>
    </xf>
    <xf numFmtId="0" fontId="24" fillId="6" borderId="15" xfId="0" applyFont="1" applyFill="1" applyBorder="1" applyAlignment="1">
      <alignment horizontal="left" vertical="center" wrapText="1"/>
    </xf>
    <xf numFmtId="49" fontId="6" fillId="3" borderId="2" xfId="0" applyNumberFormat="1" applyFont="1" applyFill="1" applyBorder="1" applyAlignment="1">
      <alignment horizontal="left" vertical="center" wrapText="1"/>
    </xf>
    <xf numFmtId="49" fontId="6" fillId="3" borderId="15" xfId="0" applyNumberFormat="1" applyFont="1" applyFill="1" applyBorder="1" applyAlignment="1">
      <alignment horizontal="left" vertical="center" wrapText="1"/>
    </xf>
    <xf numFmtId="49" fontId="6" fillId="3" borderId="12" xfId="0" applyNumberFormat="1" applyFont="1" applyFill="1" applyBorder="1" applyAlignment="1">
      <alignment horizontal="left" vertical="center" wrapText="1"/>
    </xf>
    <xf numFmtId="49" fontId="6" fillId="3" borderId="2" xfId="0" applyNumberFormat="1" applyFont="1" applyFill="1" applyBorder="1" applyAlignment="1">
      <alignment horizontal="left" vertical="center"/>
    </xf>
    <xf numFmtId="49" fontId="6" fillId="3" borderId="15" xfId="0" applyNumberFormat="1" applyFont="1" applyFill="1" applyBorder="1" applyAlignment="1">
      <alignment horizontal="left" vertical="center"/>
    </xf>
    <xf numFmtId="49" fontId="6" fillId="3" borderId="12" xfId="0" applyNumberFormat="1" applyFont="1" applyFill="1" applyBorder="1" applyAlignment="1">
      <alignment horizontal="left" vertical="center"/>
    </xf>
    <xf numFmtId="49" fontId="6" fillId="3" borderId="16" xfId="0" applyNumberFormat="1" applyFont="1" applyFill="1" applyBorder="1" applyAlignment="1">
      <alignment horizontal="left" vertical="center" wrapText="1"/>
    </xf>
    <xf numFmtId="49" fontId="6" fillId="3" borderId="17" xfId="0" applyNumberFormat="1" applyFont="1" applyFill="1" applyBorder="1" applyAlignment="1">
      <alignment horizontal="left" vertical="center" wrapText="1"/>
    </xf>
    <xf numFmtId="0" fontId="24" fillId="6" borderId="3" xfId="0" applyFont="1" applyFill="1" applyBorder="1" applyAlignment="1">
      <alignment horizontal="center" vertical="center" wrapText="1"/>
    </xf>
    <xf numFmtId="0" fontId="24" fillId="6" borderId="18" xfId="0" applyFont="1" applyFill="1" applyBorder="1" applyAlignment="1">
      <alignment horizontal="center" vertical="center" wrapText="1"/>
    </xf>
    <xf numFmtId="0" fontId="24" fillId="6"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30" fillId="0" borderId="3" xfId="0" applyFont="1" applyBorder="1" applyAlignment="1">
      <alignment horizontal="left" vertical="center"/>
    </xf>
    <xf numFmtId="0" fontId="30" fillId="0" borderId="18" xfId="0" applyFont="1" applyBorder="1" applyAlignment="1">
      <alignment horizontal="left" vertical="center"/>
    </xf>
    <xf numFmtId="0" fontId="30" fillId="0" borderId="7" xfId="0" applyFont="1" applyBorder="1" applyAlignment="1">
      <alignment horizontal="left" vertical="center"/>
    </xf>
    <xf numFmtId="0" fontId="30" fillId="0" borderId="0" xfId="0" applyFont="1" applyAlignment="1">
      <alignment horizontal="left" vertical="center"/>
    </xf>
    <xf numFmtId="0" fontId="30" fillId="0" borderId="6" xfId="0" applyFont="1" applyBorder="1" applyAlignment="1">
      <alignment horizontal="left" vertical="center"/>
    </xf>
    <xf numFmtId="0" fontId="30" fillId="0" borderId="16" xfId="0" applyFont="1" applyBorder="1" applyAlignment="1">
      <alignment horizontal="left" vertical="center"/>
    </xf>
    <xf numFmtId="10" fontId="0" fillId="0" borderId="3" xfId="0" applyNumberFormat="1" applyBorder="1" applyAlignment="1">
      <alignment horizontal="left" vertical="center"/>
    </xf>
    <xf numFmtId="10" fontId="0" fillId="0" borderId="18" xfId="0" applyNumberFormat="1" applyBorder="1" applyAlignment="1">
      <alignment horizontal="left" vertical="center"/>
    </xf>
    <xf numFmtId="0" fontId="30" fillId="0" borderId="11" xfId="0" applyFont="1" applyBorder="1" applyAlignment="1">
      <alignment horizontal="left" vertical="center"/>
    </xf>
    <xf numFmtId="0" fontId="0" fillId="0" borderId="2"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10" fontId="0" fillId="0" borderId="5" xfId="0" applyNumberFormat="1" applyBorder="1" applyAlignment="1">
      <alignment horizontal="center" vertical="center"/>
    </xf>
    <xf numFmtId="10" fontId="0" fillId="0" borderId="8" xfId="0" applyNumberFormat="1" applyBorder="1" applyAlignment="1">
      <alignment horizontal="center" vertical="center"/>
    </xf>
    <xf numFmtId="10" fontId="0" fillId="0" borderId="14" xfId="0" applyNumberFormat="1" applyBorder="1" applyAlignment="1">
      <alignment horizontal="center" vertical="center"/>
    </xf>
    <xf numFmtId="0" fontId="32" fillId="0" borderId="18" xfId="0" applyFont="1" applyBorder="1" applyAlignment="1">
      <alignment horizontal="center" vertical="center"/>
    </xf>
    <xf numFmtId="0" fontId="32" fillId="0" borderId="19" xfId="0" applyFont="1" applyBorder="1" applyAlignment="1">
      <alignment horizontal="center" vertical="center"/>
    </xf>
    <xf numFmtId="0" fontId="32" fillId="0" borderId="3" xfId="0" applyFont="1" applyBorder="1" applyAlignment="1">
      <alignment horizontal="center" vertical="center"/>
    </xf>
    <xf numFmtId="49" fontId="29" fillId="3" borderId="11" xfId="0" applyNumberFormat="1" applyFont="1" applyFill="1" applyBorder="1" applyAlignment="1">
      <alignment horizontal="left" vertical="center" wrapText="1"/>
    </xf>
    <xf numFmtId="0" fontId="19" fillId="3" borderId="12" xfId="0" applyFont="1" applyFill="1" applyBorder="1" applyAlignment="1">
      <alignment horizontal="left" vertical="center" wrapText="1"/>
    </xf>
    <xf numFmtId="10" fontId="0" fillId="0" borderId="11" xfId="0" applyNumberFormat="1" applyBorder="1" applyAlignment="1">
      <alignment horizontal="center" vertical="center"/>
    </xf>
    <xf numFmtId="0" fontId="24" fillId="6" borderId="7" xfId="0" applyFont="1" applyFill="1" applyBorder="1" applyAlignment="1">
      <alignment horizontal="center" vertical="center" wrapText="1"/>
    </xf>
    <xf numFmtId="0" fontId="24" fillId="6" borderId="0" xfId="0" applyFont="1" applyFill="1" applyAlignment="1">
      <alignment horizontal="center" vertical="center" wrapText="1"/>
    </xf>
    <xf numFmtId="0" fontId="24" fillId="6" borderId="4" xfId="0" applyFont="1" applyFill="1" applyBorder="1" applyAlignment="1">
      <alignment horizontal="center" vertical="center" wrapText="1"/>
    </xf>
    <xf numFmtId="0" fontId="24" fillId="6" borderId="2" xfId="0" applyFont="1" applyFill="1" applyBorder="1" applyAlignment="1">
      <alignment horizontal="left" vertical="center" wrapText="1"/>
    </xf>
    <xf numFmtId="10" fontId="0" fillId="0" borderId="23" xfId="0" applyNumberFormat="1" applyBorder="1" applyAlignment="1">
      <alignment horizontal="right"/>
    </xf>
    <xf numFmtId="0" fontId="0" fillId="0" borderId="23" xfId="0" applyBorder="1" applyAlignment="1">
      <alignment horizontal="right"/>
    </xf>
    <xf numFmtId="0" fontId="0" fillId="0" borderId="24" xfId="0" applyBorder="1" applyAlignment="1">
      <alignment horizontal="right"/>
    </xf>
    <xf numFmtId="0" fontId="0" fillId="0" borderId="23" xfId="0" applyBorder="1" applyAlignment="1">
      <alignment horizontal="center"/>
    </xf>
    <xf numFmtId="0" fontId="0" fillId="0" borderId="24" xfId="0" applyBorder="1" applyAlignment="1">
      <alignment horizontal="center"/>
    </xf>
    <xf numFmtId="0" fontId="38" fillId="4" borderId="7" xfId="0" applyFont="1" applyFill="1" applyBorder="1" applyAlignment="1">
      <alignment horizontal="left" vertical="center"/>
    </xf>
    <xf numFmtId="0" fontId="38" fillId="4" borderId="0" xfId="0" applyFont="1" applyFill="1" applyAlignment="1">
      <alignment horizontal="left" vertical="center"/>
    </xf>
    <xf numFmtId="0" fontId="39" fillId="4" borderId="0" xfId="0" applyFont="1" applyFill="1"/>
    <xf numFmtId="0" fontId="1" fillId="4" borderId="0" xfId="0" applyFont="1" applyFill="1"/>
    <xf numFmtId="0" fontId="40" fillId="4" borderId="0" xfId="0" applyFont="1" applyFill="1"/>
    <xf numFmtId="0" fontId="33" fillId="4" borderId="0" xfId="0" applyFont="1" applyFill="1"/>
    <xf numFmtId="0" fontId="42" fillId="4" borderId="0" xfId="0" applyFont="1" applyFill="1"/>
    <xf numFmtId="0" fontId="0" fillId="4" borderId="0" xfId="0" applyFill="1"/>
    <xf numFmtId="0" fontId="42" fillId="4" borderId="0" xfId="0" applyFont="1" applyFill="1" applyAlignment="1">
      <alignment horizontal="left"/>
    </xf>
    <xf numFmtId="0" fontId="42" fillId="4" borderId="0" xfId="0" applyFont="1" applyFill="1" applyAlignment="1">
      <alignment horizontal="left" wrapText="1"/>
    </xf>
  </cellXfs>
  <cellStyles count="1">
    <cellStyle name="Normal" xfId="0" builtinId="0"/>
  </cellStyles>
  <dxfs count="33">
    <dxf>
      <numFmt numFmtId="0" formatCode="General"/>
      <fill>
        <patternFill>
          <bgColor theme="9" tint="0.39994506668294322"/>
        </patternFill>
      </fill>
    </dxf>
    <dxf>
      <fill>
        <patternFill>
          <bgColor theme="7" tint="0.59996337778862885"/>
        </patternFill>
      </fill>
    </dxf>
    <dxf>
      <fill>
        <patternFill>
          <bgColor theme="5" tint="0.59996337778862885"/>
        </patternFill>
      </fill>
    </dxf>
    <dxf>
      <fill>
        <patternFill>
          <bgColor rgb="FFED7E5C"/>
        </patternFill>
      </fill>
    </dxf>
    <dxf>
      <fill>
        <patternFill>
          <bgColor rgb="FFEA2B29"/>
        </patternFill>
      </fill>
    </dxf>
    <dxf>
      <numFmt numFmtId="0" formatCode="General"/>
      <fill>
        <patternFill>
          <bgColor theme="9" tint="0.39994506668294322"/>
        </patternFill>
      </fill>
    </dxf>
    <dxf>
      <fill>
        <patternFill>
          <bgColor theme="7" tint="0.59996337778862885"/>
        </patternFill>
      </fill>
    </dxf>
    <dxf>
      <fill>
        <patternFill>
          <bgColor theme="5" tint="0.59996337778862885"/>
        </patternFill>
      </fill>
    </dxf>
    <dxf>
      <fill>
        <patternFill>
          <bgColor rgb="FFED7E5C"/>
        </patternFill>
      </fill>
    </dxf>
    <dxf>
      <fill>
        <patternFill>
          <bgColor rgb="FFEA2B29"/>
        </patternFill>
      </fill>
    </dxf>
    <dxf>
      <font>
        <color rgb="FF9B2C3C"/>
      </font>
      <fill>
        <patternFill>
          <bgColor rgb="FFE5C1C6"/>
        </patternFill>
      </fill>
    </dxf>
    <dxf>
      <font>
        <color rgb="FFD03544"/>
      </font>
      <fill>
        <patternFill>
          <bgColor rgb="FFFFC7CE"/>
        </patternFill>
      </fill>
    </dxf>
    <dxf>
      <font>
        <color rgb="FF9B2C3C"/>
      </font>
      <fill>
        <patternFill>
          <bgColor rgb="FFE5C1C6"/>
        </patternFill>
      </fill>
    </dxf>
    <dxf>
      <font>
        <color rgb="FFD03544"/>
      </font>
      <fill>
        <patternFill>
          <bgColor rgb="FFFFC7CE"/>
        </patternFill>
      </fill>
    </dxf>
    <dxf>
      <font>
        <color rgb="FF9B2C3C"/>
      </font>
      <fill>
        <patternFill>
          <bgColor rgb="FFE5C1C6"/>
        </patternFill>
      </fill>
    </dxf>
    <dxf>
      <font>
        <color rgb="FFD03544"/>
      </font>
      <fill>
        <patternFill>
          <bgColor rgb="FFFFC7CE"/>
        </patternFill>
      </fill>
    </dxf>
    <dxf>
      <font>
        <color rgb="FF9B2C3C"/>
      </font>
      <fill>
        <patternFill>
          <bgColor rgb="FFE5C1C6"/>
        </patternFill>
      </fill>
    </dxf>
    <dxf>
      <font>
        <color rgb="FF9B2C3C"/>
      </font>
      <fill>
        <patternFill>
          <bgColor rgb="FFE5C1C6"/>
        </patternFill>
      </fill>
    </dxf>
    <dxf>
      <font>
        <color rgb="FF9B2C3C"/>
      </font>
      <fill>
        <patternFill>
          <bgColor rgb="FFE5C1C6"/>
        </patternFill>
      </fill>
    </dxf>
    <dxf>
      <font>
        <color rgb="FFD03544"/>
      </font>
      <fill>
        <patternFill>
          <bgColor rgb="FFFFC7CE"/>
        </patternFill>
      </fill>
    </dxf>
    <dxf>
      <font>
        <color rgb="FFD03544"/>
      </font>
      <fill>
        <patternFill>
          <bgColor rgb="FFFFC7CE"/>
        </patternFill>
      </fill>
    </dxf>
    <dxf>
      <font>
        <color rgb="FFD03544"/>
      </font>
      <fill>
        <patternFill>
          <bgColor rgb="FFFFC7CE"/>
        </patternFill>
      </fill>
    </dxf>
    <dxf>
      <font>
        <color rgb="FFD03544"/>
      </font>
      <fill>
        <patternFill>
          <bgColor rgb="FFFFC7CE"/>
        </patternFill>
      </fill>
    </dxf>
    <dxf>
      <font>
        <color rgb="FF9B2C3C"/>
      </font>
      <fill>
        <patternFill>
          <bgColor rgb="FFE5C1C6"/>
        </patternFill>
      </fill>
    </dxf>
    <dxf>
      <font>
        <color rgb="FFD03544"/>
      </font>
      <fill>
        <patternFill>
          <bgColor rgb="FFFFC7CE"/>
        </patternFill>
      </fill>
    </dxf>
    <dxf>
      <font>
        <color rgb="FFD03544"/>
      </font>
      <fill>
        <patternFill>
          <bgColor rgb="FFFFC7CE"/>
        </patternFill>
      </fill>
    </dxf>
    <dxf>
      <font>
        <color rgb="FFD03544"/>
      </font>
      <fill>
        <patternFill>
          <bgColor rgb="FFFFC7CE"/>
        </patternFill>
      </fill>
    </dxf>
    <dxf>
      <font>
        <color rgb="FFD03544"/>
      </font>
      <fill>
        <patternFill>
          <bgColor rgb="FFFFC7CE"/>
        </patternFill>
      </fill>
    </dxf>
    <dxf>
      <font>
        <color rgb="FF9B2C3C"/>
      </font>
      <fill>
        <patternFill>
          <bgColor rgb="FFE5C1C6"/>
        </patternFill>
      </fill>
    </dxf>
    <dxf>
      <font>
        <color rgb="FF9B2C3C"/>
      </font>
      <fill>
        <patternFill>
          <bgColor rgb="FFE5C1C6"/>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s>
  <tableStyles count="1" defaultTableStyle="TableStyleMedium2" defaultPivotStyle="PivotStyleLight16">
    <tableStyle name="Sheet1-style" pivot="0" count="3" xr9:uid="{00000000-0011-0000-FFFF-FFFF00000000}">
      <tableStyleElement type="headerRow" dxfId="32"/>
      <tableStyleElement type="firstRowStripe" dxfId="31"/>
      <tableStyleElement type="secondRowStripe" dxfId="30"/>
    </tableStyle>
  </tableStyles>
  <colors>
    <mruColors>
      <color rgb="FFED7E5C"/>
      <color rgb="FFEA2B29"/>
      <color rgb="FFCE574C"/>
      <color rgb="FFE0E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101600</xdr:colOff>
      <xdr:row>8</xdr:row>
      <xdr:rowOff>127000</xdr:rowOff>
    </xdr:from>
    <xdr:to>
      <xdr:col>7</xdr:col>
      <xdr:colOff>6350</xdr:colOff>
      <xdr:row>10</xdr:row>
      <xdr:rowOff>85725</xdr:rowOff>
    </xdr:to>
    <xdr:cxnSp macro="">
      <xdr:nvCxnSpPr>
        <xdr:cNvPr id="2" name="Straight Connector 1">
          <a:extLst>
            <a:ext uri="{FF2B5EF4-FFF2-40B4-BE49-F238E27FC236}">
              <a16:creationId xmlns:a16="http://schemas.microsoft.com/office/drawing/2014/main" id="{940F2524-900F-E748-93EF-450CC46674B9}"/>
            </a:ext>
          </a:extLst>
        </xdr:cNvPr>
        <xdr:cNvCxnSpPr>
          <a:cxnSpLocks/>
        </xdr:cNvCxnSpPr>
      </xdr:nvCxnSpPr>
      <xdr:spPr>
        <a:xfrm flipH="1">
          <a:off x="7747000" y="1651000"/>
          <a:ext cx="2381250" cy="3524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196850</xdr:colOff>
      <xdr:row>7</xdr:row>
      <xdr:rowOff>12700</xdr:rowOff>
    </xdr:from>
    <xdr:to>
      <xdr:col>11</xdr:col>
      <xdr:colOff>400050</xdr:colOff>
      <xdr:row>11</xdr:row>
      <xdr:rowOff>0</xdr:rowOff>
    </xdr:to>
    <xdr:sp macro="" textlink="">
      <xdr:nvSpPr>
        <xdr:cNvPr id="3" name="TextBox 2">
          <a:extLst>
            <a:ext uri="{FF2B5EF4-FFF2-40B4-BE49-F238E27FC236}">
              <a16:creationId xmlns:a16="http://schemas.microsoft.com/office/drawing/2014/main" id="{383215B1-8C05-684E-BC5B-CE9BA4DFABBD}"/>
            </a:ext>
          </a:extLst>
        </xdr:cNvPr>
        <xdr:cNvSpPr txBox="1"/>
      </xdr:nvSpPr>
      <xdr:spPr>
        <a:xfrm>
          <a:off x="10318750" y="1346200"/>
          <a:ext cx="35052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This value represents the cumulative weighted score calculated from all assessment categories. The score is used to determine the vendor's overall risk rating and is automatically reflected in the Risk Score worksheet.</a:t>
          </a:r>
          <a:endParaRPr lang="en-US" sz="1100"/>
        </a:p>
      </xdr:txBody>
    </xdr:sp>
    <xdr:clientData/>
  </xdr:twoCellAnchor>
  <xdr:twoCellAnchor>
    <xdr:from>
      <xdr:col>3</xdr:col>
      <xdr:colOff>50800</xdr:colOff>
      <xdr:row>16</xdr:row>
      <xdr:rowOff>114300</xdr:rowOff>
    </xdr:from>
    <xdr:to>
      <xdr:col>5</xdr:col>
      <xdr:colOff>69850</xdr:colOff>
      <xdr:row>18</xdr:row>
      <xdr:rowOff>85725</xdr:rowOff>
    </xdr:to>
    <xdr:cxnSp macro="">
      <xdr:nvCxnSpPr>
        <xdr:cNvPr id="4" name="Straight Connector 1">
          <a:extLst>
            <a:ext uri="{FF2B5EF4-FFF2-40B4-BE49-F238E27FC236}">
              <a16:creationId xmlns:a16="http://schemas.microsoft.com/office/drawing/2014/main" id="{95E0C3EF-C595-BD4D-B016-FC6BB880D48D}"/>
            </a:ext>
          </a:extLst>
        </xdr:cNvPr>
        <xdr:cNvCxnSpPr>
          <a:cxnSpLocks/>
        </xdr:cNvCxnSpPr>
      </xdr:nvCxnSpPr>
      <xdr:spPr>
        <a:xfrm flipH="1">
          <a:off x="6159500" y="3175000"/>
          <a:ext cx="2381250" cy="3651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15</xdr:row>
      <xdr:rowOff>88900</xdr:rowOff>
    </xdr:from>
    <xdr:to>
      <xdr:col>9</xdr:col>
      <xdr:colOff>412750</xdr:colOff>
      <xdr:row>20</xdr:row>
      <xdr:rowOff>0</xdr:rowOff>
    </xdr:to>
    <xdr:sp macro="" textlink="">
      <xdr:nvSpPr>
        <xdr:cNvPr id="5" name="TextBox 4">
          <a:extLst>
            <a:ext uri="{FF2B5EF4-FFF2-40B4-BE49-F238E27FC236}">
              <a16:creationId xmlns:a16="http://schemas.microsoft.com/office/drawing/2014/main" id="{9330F4C6-A11B-DC4F-92FF-2F30C85ECDEB}"/>
            </a:ext>
          </a:extLst>
        </xdr:cNvPr>
        <xdr:cNvSpPr txBox="1"/>
      </xdr:nvSpPr>
      <xdr:spPr>
        <a:xfrm>
          <a:off x="8604250" y="2959100"/>
          <a:ext cx="358140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The risk rating is automatically determined based on the Overall Weighted Risk Score and the decision thresholds defined below. This result is also reflected in the Risk Score worksheet.</a:t>
          </a:r>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D7DE3"/>
    <outlinePr summaryBelow="0" summaryRight="0"/>
    <pageSetUpPr fitToPage="1"/>
  </sheetPr>
  <dimension ref="A1:D19"/>
  <sheetViews>
    <sheetView showGridLines="0" tabSelected="1" zoomScaleNormal="100" workbookViewId="0">
      <selection activeCell="C3" sqref="C3:D3"/>
    </sheetView>
  </sheetViews>
  <sheetFormatPr baseColWidth="10" defaultColWidth="14.5" defaultRowHeight="15" customHeight="1"/>
  <cols>
    <col min="1" max="1" width="4.6640625" style="1" customWidth="1"/>
    <col min="2" max="2" width="117" style="3" customWidth="1"/>
    <col min="3" max="3" width="17" style="3" customWidth="1"/>
    <col min="4" max="4" width="54.83203125" style="1" customWidth="1"/>
    <col min="5" max="9" width="14.5" style="1" customWidth="1"/>
    <col min="10" max="16384" width="14.5" style="1"/>
  </cols>
  <sheetData>
    <row r="1" spans="1:4" ht="30" customHeight="1">
      <c r="A1" s="116" t="s">
        <v>257</v>
      </c>
      <c r="B1" s="116"/>
      <c r="C1" s="116"/>
      <c r="D1" s="116"/>
    </row>
    <row r="2" spans="1:4" s="2" customFormat="1" ht="12.75" customHeight="1">
      <c r="A2" s="47"/>
      <c r="B2" s="22"/>
      <c r="C2" s="22"/>
      <c r="D2" s="47"/>
    </row>
    <row r="3" spans="1:4" ht="21.75" customHeight="1">
      <c r="A3" s="48"/>
      <c r="B3" s="49" t="s">
        <v>0</v>
      </c>
      <c r="C3" s="119" t="s">
        <v>223</v>
      </c>
      <c r="D3" s="120"/>
    </row>
    <row r="4" spans="1:4" ht="21.75" customHeight="1">
      <c r="A4" s="50"/>
      <c r="B4" s="51" t="s">
        <v>1</v>
      </c>
      <c r="C4" s="119" t="s">
        <v>224</v>
      </c>
      <c r="D4" s="120"/>
    </row>
    <row r="5" spans="1:4" ht="21.75" customHeight="1">
      <c r="A5" s="50"/>
      <c r="B5" s="51" t="s">
        <v>3</v>
      </c>
      <c r="C5" s="117" t="s">
        <v>225</v>
      </c>
      <c r="D5" s="118"/>
    </row>
    <row r="6" spans="1:4" ht="14.25" customHeight="1">
      <c r="A6" s="52"/>
      <c r="B6" s="123" t="s">
        <v>29</v>
      </c>
      <c r="C6" s="123"/>
      <c r="D6" s="124"/>
    </row>
    <row r="7" spans="1:4" ht="14.25" customHeight="1">
      <c r="A7" s="52"/>
      <c r="B7" s="121" t="s">
        <v>30</v>
      </c>
      <c r="C7" s="121"/>
      <c r="D7" s="122"/>
    </row>
    <row r="8" spans="1:4" ht="18" customHeight="1">
      <c r="A8" s="5"/>
      <c r="B8" s="5" t="s">
        <v>31</v>
      </c>
      <c r="C8" s="5" t="s">
        <v>32</v>
      </c>
      <c r="D8" s="5" t="s">
        <v>33</v>
      </c>
    </row>
    <row r="9" spans="1:4" ht="14">
      <c r="A9" s="113">
        <v>1</v>
      </c>
      <c r="B9" s="7" t="s">
        <v>226</v>
      </c>
      <c r="C9" s="58" t="s">
        <v>252</v>
      </c>
      <c r="D9" s="57"/>
    </row>
    <row r="10" spans="1:4" ht="14.25" customHeight="1">
      <c r="A10" s="113">
        <v>2</v>
      </c>
      <c r="B10" s="7" t="s">
        <v>227</v>
      </c>
      <c r="C10" s="58" t="s">
        <v>252</v>
      </c>
      <c r="D10" s="57"/>
    </row>
    <row r="11" spans="1:4" ht="14.25" customHeight="1">
      <c r="A11" s="113">
        <v>3</v>
      </c>
      <c r="B11" s="7" t="s">
        <v>144</v>
      </c>
      <c r="C11" s="58" t="s">
        <v>4</v>
      </c>
      <c r="D11" s="57"/>
    </row>
    <row r="12" spans="1:4" ht="14.25" customHeight="1">
      <c r="A12" s="113">
        <v>4</v>
      </c>
      <c r="B12" s="7" t="s">
        <v>145</v>
      </c>
      <c r="C12" s="58" t="s">
        <v>4</v>
      </c>
      <c r="D12" s="57"/>
    </row>
    <row r="13" spans="1:4" ht="14.25" customHeight="1">
      <c r="A13" s="113">
        <v>5</v>
      </c>
      <c r="B13" s="7" t="s">
        <v>146</v>
      </c>
      <c r="C13" s="58" t="s">
        <v>4</v>
      </c>
      <c r="D13" s="57"/>
    </row>
    <row r="14" spans="1:4" ht="14">
      <c r="A14" s="113">
        <v>6</v>
      </c>
      <c r="B14" s="7" t="s">
        <v>147</v>
      </c>
      <c r="C14" s="58" t="s">
        <v>4</v>
      </c>
      <c r="D14" s="57"/>
    </row>
    <row r="15" spans="1:4" ht="14.25" customHeight="1">
      <c r="A15" s="113">
        <v>7</v>
      </c>
      <c r="B15" s="7" t="s">
        <v>228</v>
      </c>
      <c r="C15" s="58" t="s">
        <v>4</v>
      </c>
      <c r="D15" s="57"/>
    </row>
    <row r="16" spans="1:4" ht="14.25" customHeight="1">
      <c r="A16" s="113">
        <v>8</v>
      </c>
      <c r="B16" s="7" t="s">
        <v>229</v>
      </c>
      <c r="C16" s="58" t="s">
        <v>4</v>
      </c>
      <c r="D16" s="57"/>
    </row>
    <row r="17" spans="1:4" ht="14">
      <c r="A17" s="113">
        <v>9</v>
      </c>
      <c r="B17" s="7" t="s">
        <v>148</v>
      </c>
      <c r="C17" s="58" t="s">
        <v>4</v>
      </c>
      <c r="D17" s="57"/>
    </row>
    <row r="18" spans="1:4" ht="14.25" customHeight="1">
      <c r="A18" s="113">
        <v>10</v>
      </c>
      <c r="B18" s="7" t="s">
        <v>137</v>
      </c>
      <c r="C18" s="58" t="s">
        <v>4</v>
      </c>
      <c r="D18" s="57"/>
    </row>
    <row r="19" spans="1:4" ht="14.25" customHeight="1">
      <c r="B19" s="1"/>
      <c r="C19" s="1"/>
    </row>
  </sheetData>
  <autoFilter ref="B8:D15" xr:uid="{00000000-0009-0000-0000-000001000000}"/>
  <mergeCells count="6">
    <mergeCell ref="A1:D1"/>
    <mergeCell ref="C5:D5"/>
    <mergeCell ref="C4:D4"/>
    <mergeCell ref="C3:D3"/>
    <mergeCell ref="B7:D7"/>
    <mergeCell ref="B6:D6"/>
  </mergeCells>
  <phoneticPr fontId="27" type="noConversion"/>
  <conditionalFormatting sqref="B2:B7 B20:B1048576">
    <cfRule type="containsText" dxfId="29" priority="1" operator="containsText" text="EXCLUDED">
      <formula>NOT(ISERROR(SEARCH("EXCLUDED",B2)))</formula>
    </cfRule>
  </conditionalFormatting>
  <dataValidations count="1">
    <dataValidation type="list" allowBlank="1" showInputMessage="1" showErrorMessage="1" sqref="C9:C18" xr:uid="{2765421F-9CB7-064A-BC2B-D52F5039E9F7}">
      <formula1>"Select one…,Yes, No, Partial (Explain), N/A"</formula1>
    </dataValidation>
  </dataValidations>
  <pageMargins left="0.7" right="0.7" top="0.75" bottom="0.75" header="0.3" footer="0.3"/>
  <pageSetup scale="52" fitToHeight="100" orientation="portrait"/>
  <headerFooter>
    <oddFooter>&amp;Cv.2023.10.14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ABADED"/>
    <outlinePr summaryBelow="0" summaryRight="0"/>
    <pageSetUpPr fitToPage="1"/>
  </sheetPr>
  <dimension ref="A1:D89"/>
  <sheetViews>
    <sheetView showGridLines="0" view="pageLayout" zoomScaleNormal="100" workbookViewId="0">
      <selection activeCell="B14" sqref="B14"/>
    </sheetView>
  </sheetViews>
  <sheetFormatPr baseColWidth="10" defaultColWidth="14.5" defaultRowHeight="14"/>
  <cols>
    <col min="1" max="1" width="4.83203125" style="16" customWidth="1"/>
    <col min="2" max="2" width="66.33203125" style="28" customWidth="1"/>
    <col min="3" max="3" width="24.5" style="3" customWidth="1"/>
    <col min="4" max="4" width="41.83203125" style="1" customWidth="1"/>
    <col min="5" max="9" width="14.5" style="1" customWidth="1"/>
    <col min="10" max="16384" width="14.5" style="1"/>
  </cols>
  <sheetData>
    <row r="1" spans="1:4" ht="30" customHeight="1">
      <c r="A1" s="116" t="s">
        <v>258</v>
      </c>
      <c r="B1" s="116"/>
      <c r="C1" s="116"/>
      <c r="D1" s="116"/>
    </row>
    <row r="2" spans="1:4" s="2" customFormat="1" ht="12.75" customHeight="1">
      <c r="A2" s="10"/>
      <c r="B2" s="22"/>
      <c r="C2" s="22"/>
      <c r="D2" s="47"/>
    </row>
    <row r="3" spans="1:4" ht="15" customHeight="1">
      <c r="A3" s="11"/>
      <c r="B3" s="23" t="s">
        <v>0</v>
      </c>
      <c r="C3" s="137" t="s">
        <v>223</v>
      </c>
      <c r="D3" s="120"/>
    </row>
    <row r="4" spans="1:4" ht="15" customHeight="1">
      <c r="A4" s="12"/>
      <c r="B4" s="24" t="s">
        <v>1</v>
      </c>
      <c r="C4" s="137" t="s">
        <v>224</v>
      </c>
      <c r="D4" s="120"/>
    </row>
    <row r="5" spans="1:4" ht="15" customHeight="1">
      <c r="A5" s="12"/>
      <c r="B5" s="24" t="s">
        <v>3</v>
      </c>
      <c r="C5" s="137" t="s">
        <v>225</v>
      </c>
      <c r="D5" s="120"/>
    </row>
    <row r="6" spans="1:4">
      <c r="A6" s="13"/>
      <c r="B6" s="25" t="s">
        <v>29</v>
      </c>
      <c r="C6" s="53"/>
      <c r="D6" s="54"/>
    </row>
    <row r="7" spans="1:4">
      <c r="A7" s="13"/>
      <c r="B7" s="26" t="s">
        <v>34</v>
      </c>
      <c r="C7" s="55"/>
      <c r="D7" s="56"/>
    </row>
    <row r="8" spans="1:4" ht="18" customHeight="1">
      <c r="A8" s="5"/>
      <c r="B8" s="5" t="s">
        <v>35</v>
      </c>
      <c r="C8" s="5" t="s">
        <v>32</v>
      </c>
      <c r="D8" s="5" t="s">
        <v>33</v>
      </c>
    </row>
    <row r="9" spans="1:4" ht="15.75" customHeight="1">
      <c r="A9" s="107" t="s">
        <v>5</v>
      </c>
      <c r="B9" s="133" t="s">
        <v>6</v>
      </c>
      <c r="C9" s="134"/>
      <c r="D9" s="135"/>
    </row>
    <row r="10" spans="1:4" ht="26">
      <c r="A10" s="108">
        <v>1.1000000000000001</v>
      </c>
      <c r="B10" s="4" t="s">
        <v>138</v>
      </c>
      <c r="C10" s="58" t="s">
        <v>252</v>
      </c>
      <c r="D10" s="59"/>
    </row>
    <row r="11" spans="1:4" ht="26">
      <c r="A11" s="108">
        <v>1.2</v>
      </c>
      <c r="B11" s="4" t="s">
        <v>166</v>
      </c>
      <c r="C11" s="58" t="s">
        <v>28</v>
      </c>
      <c r="D11" s="59"/>
    </row>
    <row r="12" spans="1:4" ht="26">
      <c r="A12" s="108">
        <v>1.3</v>
      </c>
      <c r="B12" s="4" t="s">
        <v>149</v>
      </c>
      <c r="C12" s="58" t="s">
        <v>4</v>
      </c>
      <c r="D12" s="59"/>
    </row>
    <row r="13" spans="1:4" ht="19" customHeight="1">
      <c r="A13" s="115">
        <v>2</v>
      </c>
      <c r="B13" s="136" t="s">
        <v>7</v>
      </c>
      <c r="C13" s="136"/>
      <c r="D13" s="136"/>
    </row>
    <row r="14" spans="1:4" ht="26">
      <c r="A14" s="111">
        <v>2.1</v>
      </c>
      <c r="B14" s="103" t="s">
        <v>230</v>
      </c>
      <c r="C14" s="58" t="s">
        <v>252</v>
      </c>
      <c r="D14" s="59"/>
    </row>
    <row r="15" spans="1:4" ht="26">
      <c r="A15" s="111">
        <v>2.2000000000000002</v>
      </c>
      <c r="B15" s="103" t="s">
        <v>139</v>
      </c>
      <c r="C15" s="58" t="s">
        <v>253</v>
      </c>
      <c r="D15" s="59"/>
    </row>
    <row r="16" spans="1:4" ht="26">
      <c r="A16" s="111">
        <v>2.2999999999999998</v>
      </c>
      <c r="B16" s="103" t="s">
        <v>140</v>
      </c>
      <c r="C16" s="58" t="s">
        <v>4</v>
      </c>
      <c r="D16" s="59"/>
    </row>
    <row r="17" spans="1:4" ht="39">
      <c r="A17" s="111">
        <v>2.4</v>
      </c>
      <c r="B17" s="103" t="s">
        <v>231</v>
      </c>
      <c r="C17" s="58" t="s">
        <v>4</v>
      </c>
      <c r="D17" s="59"/>
    </row>
    <row r="18" spans="1:4" ht="26">
      <c r="A18" s="111">
        <v>2.5</v>
      </c>
      <c r="B18" s="103" t="s">
        <v>232</v>
      </c>
      <c r="C18" s="58" t="s">
        <v>4</v>
      </c>
      <c r="D18" s="59"/>
    </row>
    <row r="19" spans="1:4" ht="26">
      <c r="A19" s="111">
        <v>2.6</v>
      </c>
      <c r="B19" s="103" t="s">
        <v>141</v>
      </c>
      <c r="C19" s="58" t="s">
        <v>4</v>
      </c>
      <c r="D19" s="59"/>
    </row>
    <row r="20" spans="1:4" ht="26">
      <c r="A20" s="111">
        <v>2.7</v>
      </c>
      <c r="B20" s="103" t="s">
        <v>142</v>
      </c>
      <c r="C20" s="58" t="s">
        <v>4</v>
      </c>
      <c r="D20" s="59"/>
    </row>
    <row r="21" spans="1:4" ht="26">
      <c r="A21" s="111">
        <v>2.8</v>
      </c>
      <c r="B21" s="103" t="s">
        <v>233</v>
      </c>
      <c r="C21" s="58" t="s">
        <v>4</v>
      </c>
      <c r="D21" s="59"/>
    </row>
    <row r="22" spans="1:4" ht="26">
      <c r="A22" s="111">
        <v>2.9</v>
      </c>
      <c r="B22" s="103" t="s">
        <v>234</v>
      </c>
      <c r="C22" s="58" t="s">
        <v>4</v>
      </c>
      <c r="D22" s="59"/>
    </row>
    <row r="23" spans="1:4" ht="26">
      <c r="A23" s="110" t="s">
        <v>8</v>
      </c>
      <c r="B23" s="103" t="s">
        <v>235</v>
      </c>
      <c r="C23" s="58" t="s">
        <v>4</v>
      </c>
      <c r="D23" s="59"/>
    </row>
    <row r="24" spans="1:4" ht="26">
      <c r="A24" s="111">
        <v>2.11</v>
      </c>
      <c r="B24" s="103" t="s">
        <v>236</v>
      </c>
      <c r="C24" s="58" t="s">
        <v>4</v>
      </c>
      <c r="D24" s="59"/>
    </row>
    <row r="25" spans="1:4" ht="26">
      <c r="A25" s="111">
        <v>2.12</v>
      </c>
      <c r="B25" s="103" t="s">
        <v>237</v>
      </c>
      <c r="C25" s="58" t="s">
        <v>4</v>
      </c>
      <c r="D25" s="59"/>
    </row>
    <row r="26" spans="1:4" ht="26">
      <c r="A26" s="111">
        <v>2.13</v>
      </c>
      <c r="B26" s="103" t="s">
        <v>238</v>
      </c>
      <c r="C26" s="58" t="s">
        <v>4</v>
      </c>
      <c r="D26" s="59"/>
    </row>
    <row r="27" spans="1:4" ht="15.75" customHeight="1">
      <c r="A27" s="107" t="s">
        <v>9</v>
      </c>
      <c r="B27" s="128" t="s">
        <v>10</v>
      </c>
      <c r="C27" s="128"/>
      <c r="D27" s="128"/>
    </row>
    <row r="28" spans="1:4" ht="26">
      <c r="A28" s="111">
        <v>3.1</v>
      </c>
      <c r="B28" s="103" t="s">
        <v>239</v>
      </c>
      <c r="C28" s="58" t="s">
        <v>252</v>
      </c>
      <c r="D28" s="59"/>
    </row>
    <row r="29" spans="1:4" ht="26">
      <c r="A29" s="111">
        <v>3.2</v>
      </c>
      <c r="B29" s="103" t="s">
        <v>240</v>
      </c>
      <c r="C29" s="58" t="s">
        <v>252</v>
      </c>
      <c r="D29" s="59"/>
    </row>
    <row r="30" spans="1:4" ht="26">
      <c r="A30" s="111">
        <v>3.3</v>
      </c>
      <c r="B30" s="103" t="s">
        <v>241</v>
      </c>
      <c r="C30" s="58" t="s">
        <v>4</v>
      </c>
      <c r="D30" s="59"/>
    </row>
    <row r="31" spans="1:4" ht="26">
      <c r="A31" s="111">
        <v>3.4</v>
      </c>
      <c r="B31" s="103" t="s">
        <v>242</v>
      </c>
      <c r="C31" s="58" t="s">
        <v>4</v>
      </c>
      <c r="D31" s="59"/>
    </row>
    <row r="32" spans="1:4">
      <c r="A32" s="111">
        <v>3.5</v>
      </c>
      <c r="B32" s="103" t="s">
        <v>11</v>
      </c>
      <c r="C32" s="58" t="s">
        <v>4</v>
      </c>
      <c r="D32" s="59"/>
    </row>
    <row r="33" spans="1:4" ht="26">
      <c r="A33" s="111">
        <v>3.6</v>
      </c>
      <c r="B33" s="103" t="s">
        <v>167</v>
      </c>
      <c r="C33" s="58" t="s">
        <v>4</v>
      </c>
      <c r="D33" s="59"/>
    </row>
    <row r="34" spans="1:4" ht="26">
      <c r="A34" s="111">
        <v>3.7</v>
      </c>
      <c r="B34" s="103" t="s">
        <v>162</v>
      </c>
      <c r="C34" s="58" t="s">
        <v>4</v>
      </c>
      <c r="D34" s="59"/>
    </row>
    <row r="35" spans="1:4">
      <c r="A35" s="111">
        <v>3.8</v>
      </c>
      <c r="B35" s="103" t="s">
        <v>12</v>
      </c>
      <c r="C35" s="58" t="s">
        <v>4</v>
      </c>
      <c r="D35" s="59"/>
    </row>
    <row r="36" spans="1:4">
      <c r="A36" s="111">
        <v>3.9</v>
      </c>
      <c r="B36" s="104" t="s">
        <v>14</v>
      </c>
      <c r="C36" s="58" t="s">
        <v>4</v>
      </c>
      <c r="D36" s="59"/>
    </row>
    <row r="37" spans="1:4">
      <c r="A37" s="110" t="s">
        <v>13</v>
      </c>
      <c r="B37" s="105" t="s">
        <v>15</v>
      </c>
      <c r="C37" s="58" t="s">
        <v>4</v>
      </c>
      <c r="D37" s="59"/>
    </row>
    <row r="38" spans="1:4">
      <c r="A38" s="111">
        <v>3.11</v>
      </c>
      <c r="B38" s="4" t="s">
        <v>243</v>
      </c>
      <c r="C38" s="58" t="s">
        <v>4</v>
      </c>
      <c r="D38" s="59"/>
    </row>
    <row r="39" spans="1:4">
      <c r="A39" s="111">
        <v>3.12</v>
      </c>
      <c r="B39" s="4" t="s">
        <v>186</v>
      </c>
      <c r="C39" s="58" t="s">
        <v>4</v>
      </c>
      <c r="D39" s="59"/>
    </row>
    <row r="40" spans="1:4" ht="19" customHeight="1">
      <c r="A40" s="112" t="s">
        <v>16</v>
      </c>
      <c r="B40" s="132" t="s">
        <v>192</v>
      </c>
      <c r="C40" s="132"/>
      <c r="D40" s="132"/>
    </row>
    <row r="41" spans="1:4">
      <c r="A41" s="15">
        <v>4.0999999999999996</v>
      </c>
      <c r="B41" s="105" t="s">
        <v>17</v>
      </c>
      <c r="C41" s="58" t="s">
        <v>252</v>
      </c>
      <c r="D41" s="60"/>
    </row>
    <row r="42" spans="1:4">
      <c r="A42" s="15">
        <v>4.2</v>
      </c>
      <c r="B42" s="105" t="s">
        <v>185</v>
      </c>
      <c r="C42" s="58" t="s">
        <v>28</v>
      </c>
      <c r="D42" s="60"/>
    </row>
    <row r="43" spans="1:4" ht="26">
      <c r="A43" s="15">
        <v>4.3</v>
      </c>
      <c r="B43" s="4" t="s">
        <v>244</v>
      </c>
      <c r="C43" s="58" t="s">
        <v>4</v>
      </c>
      <c r="D43" s="60"/>
    </row>
    <row r="44" spans="1:4" ht="26">
      <c r="A44" s="15">
        <v>4.4000000000000004</v>
      </c>
      <c r="B44" s="4" t="s">
        <v>150</v>
      </c>
      <c r="C44" s="58" t="s">
        <v>4</v>
      </c>
      <c r="D44" s="60"/>
    </row>
    <row r="45" spans="1:4" ht="26">
      <c r="A45" s="15">
        <v>4.5</v>
      </c>
      <c r="B45" s="105" t="s">
        <v>18</v>
      </c>
      <c r="C45" s="58" t="s">
        <v>4</v>
      </c>
      <c r="D45" s="60"/>
    </row>
    <row r="46" spans="1:4" ht="26">
      <c r="A46" s="15">
        <v>4.5999999999999996</v>
      </c>
      <c r="B46" s="105" t="s">
        <v>19</v>
      </c>
      <c r="C46" s="58" t="s">
        <v>4</v>
      </c>
      <c r="D46" s="60"/>
    </row>
    <row r="47" spans="1:4" ht="26">
      <c r="A47" s="15">
        <v>4.7</v>
      </c>
      <c r="B47" s="105" t="s">
        <v>177</v>
      </c>
      <c r="C47" s="58" t="s">
        <v>4</v>
      </c>
      <c r="D47" s="60"/>
    </row>
    <row r="48" spans="1:4" ht="39">
      <c r="A48" s="15">
        <v>4.8</v>
      </c>
      <c r="B48" s="105" t="s">
        <v>151</v>
      </c>
      <c r="C48" s="58" t="s">
        <v>4</v>
      </c>
      <c r="D48" s="60"/>
    </row>
    <row r="49" spans="1:4" ht="26">
      <c r="A49" s="15">
        <v>4.9000000000000004</v>
      </c>
      <c r="B49" s="105" t="s">
        <v>168</v>
      </c>
      <c r="C49" s="58" t="s">
        <v>4</v>
      </c>
      <c r="D49" s="60"/>
    </row>
    <row r="50" spans="1:4" ht="26">
      <c r="A50" s="15" t="s">
        <v>20</v>
      </c>
      <c r="B50" s="105" t="s">
        <v>163</v>
      </c>
      <c r="C50" s="58" t="s">
        <v>4</v>
      </c>
      <c r="D50" s="60"/>
    </row>
    <row r="51" spans="1:4" ht="26">
      <c r="A51" s="9">
        <v>4.1100000000000003</v>
      </c>
      <c r="B51" s="105" t="s">
        <v>245</v>
      </c>
      <c r="C51" s="58" t="s">
        <v>4</v>
      </c>
      <c r="D51" s="60"/>
    </row>
    <row r="52" spans="1:4" ht="26">
      <c r="A52" s="9">
        <v>4.12</v>
      </c>
      <c r="B52" s="105" t="s">
        <v>246</v>
      </c>
      <c r="C52" s="58" t="s">
        <v>4</v>
      </c>
      <c r="D52" s="60"/>
    </row>
    <row r="53" spans="1:4" ht="26">
      <c r="A53" s="9">
        <v>4.13</v>
      </c>
      <c r="B53" s="105" t="s">
        <v>164</v>
      </c>
      <c r="C53" s="58" t="s">
        <v>4</v>
      </c>
      <c r="D53" s="60"/>
    </row>
    <row r="54" spans="1:4">
      <c r="A54" s="9">
        <v>4.1399999999999997</v>
      </c>
      <c r="B54" s="105" t="s">
        <v>153</v>
      </c>
      <c r="C54" s="58" t="s">
        <v>4</v>
      </c>
      <c r="D54" s="60"/>
    </row>
    <row r="55" spans="1:4">
      <c r="A55" s="9">
        <v>4.1500000000000004</v>
      </c>
      <c r="B55" s="105" t="s">
        <v>247</v>
      </c>
      <c r="C55" s="58" t="s">
        <v>4</v>
      </c>
      <c r="D55" s="60"/>
    </row>
    <row r="56" spans="1:4">
      <c r="A56" s="9">
        <v>4.16</v>
      </c>
      <c r="B56" s="105" t="s">
        <v>248</v>
      </c>
      <c r="C56" s="58" t="s">
        <v>4</v>
      </c>
      <c r="D56" s="60"/>
    </row>
    <row r="57" spans="1:4" ht="26">
      <c r="A57" s="9">
        <v>4.17</v>
      </c>
      <c r="B57" s="105" t="s">
        <v>154</v>
      </c>
      <c r="C57" s="58" t="s">
        <v>4</v>
      </c>
      <c r="D57" s="60"/>
    </row>
    <row r="58" spans="1:4" ht="26">
      <c r="A58" s="9">
        <v>4.18</v>
      </c>
      <c r="B58" s="105" t="s">
        <v>21</v>
      </c>
      <c r="C58" s="58" t="s">
        <v>4</v>
      </c>
      <c r="D58" s="60"/>
    </row>
    <row r="59" spans="1:4">
      <c r="A59" s="9">
        <v>4.1900000000000004</v>
      </c>
      <c r="B59" s="105" t="s">
        <v>189</v>
      </c>
      <c r="C59" s="58" t="s">
        <v>4</v>
      </c>
      <c r="D59" s="60"/>
    </row>
    <row r="60" spans="1:4" ht="26">
      <c r="A60" s="15" t="s">
        <v>187</v>
      </c>
      <c r="B60" s="105" t="s">
        <v>190</v>
      </c>
      <c r="C60" s="58" t="s">
        <v>4</v>
      </c>
      <c r="D60" s="60"/>
    </row>
    <row r="61" spans="1:4">
      <c r="A61" s="9">
        <v>4.21</v>
      </c>
      <c r="B61" s="105" t="s">
        <v>194</v>
      </c>
      <c r="C61" s="58" t="s">
        <v>4</v>
      </c>
      <c r="D61" s="60"/>
    </row>
    <row r="62" spans="1:4">
      <c r="A62" s="9">
        <v>2.2200000000000002</v>
      </c>
      <c r="B62" s="105" t="s">
        <v>191</v>
      </c>
      <c r="C62" s="58" t="s">
        <v>4</v>
      </c>
      <c r="D62" s="60"/>
    </row>
    <row r="63" spans="1:4" ht="26">
      <c r="A63" s="9">
        <v>4.2300000000000004</v>
      </c>
      <c r="B63" s="105" t="s">
        <v>188</v>
      </c>
      <c r="C63" s="58" t="s">
        <v>4</v>
      </c>
      <c r="D63" s="60"/>
    </row>
    <row r="64" spans="1:4" ht="19" customHeight="1">
      <c r="A64" s="109" t="s">
        <v>22</v>
      </c>
      <c r="B64" s="129" t="s">
        <v>23</v>
      </c>
      <c r="C64" s="130"/>
      <c r="D64" s="131"/>
    </row>
    <row r="65" spans="1:4" ht="26">
      <c r="A65" s="113">
        <v>5.0999999999999996</v>
      </c>
      <c r="B65" s="105" t="s">
        <v>156</v>
      </c>
      <c r="C65" s="58" t="s">
        <v>252</v>
      </c>
      <c r="D65" s="62"/>
    </row>
    <row r="66" spans="1:4" ht="26">
      <c r="A66" s="113">
        <v>5.2</v>
      </c>
      <c r="B66" s="105" t="s">
        <v>157</v>
      </c>
      <c r="C66" s="58" t="s">
        <v>252</v>
      </c>
      <c r="D66" s="62"/>
    </row>
    <row r="67" spans="1:4" ht="26">
      <c r="A67" s="113">
        <v>5.3</v>
      </c>
      <c r="B67" s="105" t="s">
        <v>155</v>
      </c>
      <c r="C67" s="58" t="s">
        <v>4</v>
      </c>
      <c r="D67" s="62"/>
    </row>
    <row r="68" spans="1:4" ht="18">
      <c r="A68" s="109" t="s">
        <v>24</v>
      </c>
      <c r="B68" s="125" t="s">
        <v>165</v>
      </c>
      <c r="C68" s="126"/>
      <c r="D68" s="127"/>
    </row>
    <row r="69" spans="1:4" ht="26">
      <c r="A69" s="113">
        <v>6.1</v>
      </c>
      <c r="B69" s="105" t="s">
        <v>158</v>
      </c>
      <c r="C69" s="58" t="s">
        <v>252</v>
      </c>
      <c r="D69" s="60"/>
    </row>
    <row r="70" spans="1:4" ht="26">
      <c r="A70" s="113">
        <v>6.2</v>
      </c>
      <c r="B70" s="105" t="s">
        <v>159</v>
      </c>
      <c r="C70" s="58" t="s">
        <v>253</v>
      </c>
      <c r="D70" s="60"/>
    </row>
    <row r="71" spans="1:4" ht="26">
      <c r="A71" s="113">
        <v>6.3</v>
      </c>
      <c r="B71" s="105" t="s">
        <v>161</v>
      </c>
      <c r="C71" s="58" t="s">
        <v>4</v>
      </c>
      <c r="D71" s="60"/>
    </row>
    <row r="72" spans="1:4" ht="26" customHeight="1">
      <c r="A72" s="109" t="s">
        <v>25</v>
      </c>
      <c r="B72" s="125" t="s">
        <v>26</v>
      </c>
      <c r="C72" s="126" t="s">
        <v>4</v>
      </c>
      <c r="D72" s="127"/>
    </row>
    <row r="73" spans="1:4" ht="26">
      <c r="A73" s="113">
        <v>7.1</v>
      </c>
      <c r="B73" s="105" t="s">
        <v>249</v>
      </c>
      <c r="C73" s="58" t="s">
        <v>252</v>
      </c>
      <c r="D73" s="60"/>
    </row>
    <row r="74" spans="1:4" ht="26">
      <c r="A74" s="113">
        <v>7.2</v>
      </c>
      <c r="B74" s="105" t="s">
        <v>181</v>
      </c>
      <c r="C74" s="58" t="s">
        <v>252</v>
      </c>
      <c r="D74" s="60"/>
    </row>
    <row r="75" spans="1:4">
      <c r="A75" s="113">
        <v>7.3</v>
      </c>
      <c r="B75" s="105" t="s">
        <v>182</v>
      </c>
      <c r="C75" s="58" t="s">
        <v>4</v>
      </c>
      <c r="D75" s="60"/>
    </row>
    <row r="76" spans="1:4" ht="26">
      <c r="A76" s="113">
        <v>7.4</v>
      </c>
      <c r="B76" s="105" t="s">
        <v>160</v>
      </c>
      <c r="C76" s="58" t="s">
        <v>4</v>
      </c>
      <c r="D76" s="60"/>
    </row>
    <row r="77" spans="1:4" ht="26">
      <c r="A77" s="113">
        <v>7.5</v>
      </c>
      <c r="B77" s="105" t="s">
        <v>183</v>
      </c>
      <c r="C77" s="58" t="s">
        <v>4</v>
      </c>
      <c r="D77" s="60"/>
    </row>
    <row r="78" spans="1:4" ht="26">
      <c r="A78" s="113">
        <v>7.6</v>
      </c>
      <c r="B78" s="105" t="s">
        <v>250</v>
      </c>
      <c r="C78" s="58" t="s">
        <v>4</v>
      </c>
      <c r="D78" s="60"/>
    </row>
    <row r="79" spans="1:4" ht="26">
      <c r="A79" s="113">
        <v>7.7</v>
      </c>
      <c r="B79" s="105" t="s">
        <v>251</v>
      </c>
      <c r="C79" s="58" t="s">
        <v>4</v>
      </c>
      <c r="D79" s="60"/>
    </row>
    <row r="80" spans="1:4">
      <c r="A80" s="113">
        <v>7.8</v>
      </c>
      <c r="B80" s="105" t="s">
        <v>184</v>
      </c>
      <c r="C80" s="58" t="s">
        <v>4</v>
      </c>
      <c r="D80" s="60"/>
    </row>
    <row r="81" spans="1:4" ht="18">
      <c r="A81" s="109" t="s">
        <v>195</v>
      </c>
      <c r="B81" s="125" t="s">
        <v>193</v>
      </c>
      <c r="C81" s="126"/>
      <c r="D81" s="127"/>
    </row>
    <row r="82" spans="1:4" ht="30">
      <c r="A82" s="113">
        <v>8.1</v>
      </c>
      <c r="B82" s="80" t="s">
        <v>143</v>
      </c>
      <c r="C82" s="58" t="s">
        <v>252</v>
      </c>
      <c r="D82" s="60"/>
    </row>
    <row r="83" spans="1:4" ht="30">
      <c r="A83" s="113">
        <v>8.1999999999999993</v>
      </c>
      <c r="B83" s="80" t="s">
        <v>152</v>
      </c>
      <c r="C83" s="58" t="s">
        <v>252</v>
      </c>
      <c r="D83" s="60"/>
    </row>
    <row r="84" spans="1:4" ht="30">
      <c r="A84" s="113">
        <v>8.3000000000000007</v>
      </c>
      <c r="B84" s="80" t="s">
        <v>178</v>
      </c>
      <c r="C84" s="58" t="s">
        <v>4</v>
      </c>
      <c r="D84" s="60"/>
    </row>
    <row r="85" spans="1:4" ht="30">
      <c r="A85" s="113">
        <v>8.4</v>
      </c>
      <c r="B85" s="80" t="s">
        <v>179</v>
      </c>
      <c r="C85" s="58" t="s">
        <v>4</v>
      </c>
      <c r="D85" s="60"/>
    </row>
    <row r="86" spans="1:4" ht="15">
      <c r="A86" s="113">
        <v>8.5</v>
      </c>
      <c r="B86" s="106" t="s">
        <v>180</v>
      </c>
      <c r="C86" s="58" t="s">
        <v>4</v>
      </c>
      <c r="D86" s="60"/>
    </row>
    <row r="87" spans="1:4" ht="15">
      <c r="A87" s="114"/>
      <c r="B87"/>
      <c r="C87"/>
      <c r="D87"/>
    </row>
    <row r="88" spans="1:4" ht="15">
      <c r="A88" s="114"/>
      <c r="B88"/>
      <c r="C88"/>
      <c r="D88"/>
    </row>
    <row r="89" spans="1:4" ht="15">
      <c r="A89" s="114"/>
      <c r="B89"/>
      <c r="C89"/>
      <c r="D89"/>
    </row>
  </sheetData>
  <autoFilter ref="B8:D87" xr:uid="{00000000-0009-0000-0000-000002000000}"/>
  <mergeCells count="12">
    <mergeCell ref="B81:D81"/>
    <mergeCell ref="B27:D27"/>
    <mergeCell ref="A1:D1"/>
    <mergeCell ref="B72:D72"/>
    <mergeCell ref="B64:D64"/>
    <mergeCell ref="B40:D40"/>
    <mergeCell ref="B68:D68"/>
    <mergeCell ref="B9:D9"/>
    <mergeCell ref="B13:D13"/>
    <mergeCell ref="C3:D3"/>
    <mergeCell ref="C5:D5"/>
    <mergeCell ref="C4:D4"/>
  </mergeCells>
  <conditionalFormatting sqref="B68 B72 B81 B9 B27 B90:B1048576">
    <cfRule type="containsText" dxfId="28" priority="4" operator="containsText" text="EXCLUDED">
      <formula>NOT(ISERROR(SEARCH("EXCLUDED",B9)))</formula>
    </cfRule>
  </conditionalFormatting>
  <conditionalFormatting sqref="B68">
    <cfRule type="containsText" dxfId="27" priority="3" operator="containsText" text="EXCLUDED">
      <formula>NOT(ISERROR(SEARCH("EXCLUDED",B68)))</formula>
    </cfRule>
  </conditionalFormatting>
  <conditionalFormatting sqref="B72">
    <cfRule type="containsText" dxfId="26" priority="2" operator="containsText" text="EXCLUDED">
      <formula>NOT(ISERROR(SEARCH("EXCLUDED",B72)))</formula>
    </cfRule>
  </conditionalFormatting>
  <conditionalFormatting sqref="B81">
    <cfRule type="containsText" dxfId="25" priority="1" operator="containsText" text="EXCLUDED">
      <formula>NOT(ISERROR(SEARCH("EXCLUDED",B81)))</formula>
    </cfRule>
  </conditionalFormatting>
  <dataValidations disablePrompts="1" count="3">
    <dataValidation type="list" allowBlank="1" showInputMessage="1" showErrorMessage="1" sqref="C72" xr:uid="{00000000-0002-0000-0200-000001000000}">
      <formula1>"Select one…,Yes, No, Undetermined"</formula1>
    </dataValidation>
    <dataValidation type="list" allowBlank="1" showInputMessage="1" showErrorMessage="1" sqref="C68 C81" xr:uid="{00000000-0002-0000-0200-000004000000}">
      <formula1>"Select one…,Yes, No, Undetermined, N/A"</formula1>
    </dataValidation>
    <dataValidation type="list" allowBlank="1" showInputMessage="1" showErrorMessage="1" sqref="C10:C12 C14:C26 C73:C80 C69:C71 C41:C63 C65:C67 C28:C39 C82:C86" xr:uid="{B34803B0-989A-EC41-B6A6-0C496254B1C2}">
      <formula1>"Select one…,Yes, No, Partial (Explain), N/A"</formula1>
    </dataValidation>
  </dataValidations>
  <pageMargins left="0.7" right="0.7" top="0.75" bottom="0.75" header="0.3" footer="0.3"/>
  <pageSetup scale="61" fitToHeight="100" orientation="portrait" r:id="rId1"/>
  <headerFooter>
    <oddHeader>&amp;C//Confidential//</oddHeader>
    <oddFooter>&amp;Cv.2023.11.21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0E0FA"/>
    <pageSetUpPr fitToPage="1"/>
  </sheetPr>
  <dimension ref="A1:E125"/>
  <sheetViews>
    <sheetView showGridLines="0" zoomScaleNormal="100" workbookViewId="0">
      <selection activeCell="C33" sqref="C33"/>
    </sheetView>
  </sheetViews>
  <sheetFormatPr baseColWidth="10" defaultColWidth="9.1640625" defaultRowHeight="12"/>
  <cols>
    <col min="1" max="1" width="9.1640625" style="17" customWidth="1"/>
    <col min="2" max="2" width="59" style="36" customWidth="1"/>
    <col min="3" max="3" width="26.33203125" style="35" customWidth="1"/>
    <col min="4" max="4" width="64.5" style="35" customWidth="1"/>
    <col min="5" max="5" width="13" style="32" customWidth="1"/>
    <col min="6" max="10" width="9.1640625" style="32" customWidth="1"/>
    <col min="11" max="16384" width="9.1640625" style="32"/>
  </cols>
  <sheetData>
    <row r="1" spans="1:5" ht="31">
      <c r="A1" s="138" t="s">
        <v>259</v>
      </c>
      <c r="B1" s="139"/>
      <c r="C1" s="139"/>
      <c r="D1" s="140"/>
    </row>
    <row r="2" spans="1:5" ht="18" customHeight="1">
      <c r="A2"/>
      <c r="B2"/>
      <c r="C2"/>
      <c r="D2"/>
      <c r="E2"/>
    </row>
    <row r="3" spans="1:5" s="33" customFormat="1" ht="15.75" customHeight="1">
      <c r="A3" s="48"/>
      <c r="B3" s="49" t="s">
        <v>0</v>
      </c>
      <c r="C3" s="119" t="s">
        <v>223</v>
      </c>
      <c r="D3" s="120"/>
    </row>
    <row r="4" spans="1:5" ht="15">
      <c r="A4" s="50"/>
      <c r="B4" s="51" t="s">
        <v>1</v>
      </c>
      <c r="C4" s="119" t="s">
        <v>224</v>
      </c>
      <c r="D4" s="120"/>
    </row>
    <row r="5" spans="1:5" ht="15">
      <c r="A5" s="50"/>
      <c r="B5" s="51" t="s">
        <v>3</v>
      </c>
      <c r="C5" s="117" t="s">
        <v>225</v>
      </c>
      <c r="D5" s="118"/>
    </row>
    <row r="6" spans="1:5" ht="15" customHeight="1">
      <c r="A6" s="143" t="s">
        <v>36</v>
      </c>
      <c r="B6" s="144"/>
      <c r="C6" s="144"/>
      <c r="D6" s="145"/>
    </row>
    <row r="7" spans="1:5" ht="15" customHeight="1">
      <c r="A7" s="156" t="s">
        <v>37</v>
      </c>
      <c r="B7" s="147"/>
      <c r="C7" s="148"/>
      <c r="D7" s="149"/>
    </row>
    <row r="8" spans="1:5">
      <c r="A8" s="153" t="s">
        <v>38</v>
      </c>
      <c r="B8" s="154"/>
      <c r="C8" s="154"/>
      <c r="D8" s="155"/>
    </row>
    <row r="9" spans="1:5" ht="15" customHeight="1">
      <c r="A9" s="141" t="s">
        <v>39</v>
      </c>
      <c r="B9" s="142"/>
      <c r="C9" s="142"/>
      <c r="D9" s="118"/>
    </row>
    <row r="10" spans="1:5">
      <c r="A10" s="18"/>
      <c r="B10" s="37"/>
      <c r="C10" s="37"/>
      <c r="D10" s="37"/>
    </row>
    <row r="11" spans="1:5" ht="18" customHeight="1">
      <c r="A11" s="63"/>
      <c r="B11" s="151" t="s">
        <v>40</v>
      </c>
      <c r="C11" s="152"/>
      <c r="D11" s="152"/>
    </row>
    <row r="12" spans="1:5">
      <c r="A12" s="18"/>
      <c r="B12" s="38" t="s">
        <v>41</v>
      </c>
      <c r="C12" s="37"/>
      <c r="D12" s="37"/>
    </row>
    <row r="13" spans="1:5">
      <c r="A13" s="18"/>
      <c r="B13" s="38" t="s">
        <v>42</v>
      </c>
      <c r="C13" s="37"/>
      <c r="D13" s="37"/>
    </row>
    <row r="14" spans="1:5">
      <c r="A14" s="18"/>
      <c r="B14" s="38" t="s">
        <v>43</v>
      </c>
      <c r="C14" s="37"/>
      <c r="D14" s="37"/>
    </row>
    <row r="15" spans="1:5" ht="15">
      <c r="A15" s="18"/>
      <c r="B15" s="34" t="s">
        <v>44</v>
      </c>
      <c r="C15" s="37"/>
      <c r="D15"/>
    </row>
    <row r="16" spans="1:5" ht="15">
      <c r="A16" s="18"/>
      <c r="B16" s="34" t="s">
        <v>45</v>
      </c>
      <c r="C16" s="37"/>
      <c r="D16"/>
    </row>
    <row r="17" spans="1:5" ht="15">
      <c r="A17" s="18"/>
      <c r="B17" s="34" t="s">
        <v>46</v>
      </c>
      <c r="C17" s="37"/>
      <c r="D17"/>
    </row>
    <row r="18" spans="1:5" ht="15">
      <c r="A18" s="18"/>
      <c r="B18" s="34" t="s">
        <v>47</v>
      </c>
      <c r="C18" s="37"/>
      <c r="D18"/>
    </row>
    <row r="19" spans="1:5" ht="15">
      <c r="A19" s="18"/>
      <c r="B19" s="34" t="s">
        <v>48</v>
      </c>
      <c r="C19" s="37"/>
      <c r="D19"/>
    </row>
    <row r="20" spans="1:5">
      <c r="A20" s="18"/>
      <c r="B20" s="34" t="s">
        <v>49</v>
      </c>
      <c r="C20" s="37"/>
      <c r="D20" s="37"/>
    </row>
    <row r="21" spans="1:5">
      <c r="A21" s="18"/>
      <c r="B21" s="34" t="s">
        <v>50</v>
      </c>
      <c r="C21" s="37"/>
      <c r="D21" s="37"/>
    </row>
    <row r="22" spans="1:5">
      <c r="B22" s="32"/>
      <c r="C22" s="32"/>
      <c r="D22" s="32"/>
    </row>
    <row r="23" spans="1:5" ht="18">
      <c r="A23" s="6"/>
      <c r="B23" s="150" t="s">
        <v>42</v>
      </c>
      <c r="C23" s="150"/>
      <c r="D23" s="150"/>
    </row>
    <row r="24" spans="1:5" ht="15">
      <c r="A24" s="143" t="s">
        <v>51</v>
      </c>
      <c r="B24" s="144"/>
      <c r="C24" s="144"/>
      <c r="D24" s="145"/>
      <c r="E24" s="39"/>
    </row>
    <row r="25" spans="1:5" ht="15">
      <c r="A25" s="19"/>
      <c r="B25" s="40" t="s">
        <v>52</v>
      </c>
      <c r="C25" s="41" t="s">
        <v>53</v>
      </c>
      <c r="D25" s="41" t="s">
        <v>33</v>
      </c>
      <c r="E25" s="42"/>
    </row>
    <row r="26" spans="1:5" ht="26">
      <c r="A26" s="20">
        <f>'1 - Stakeholder Questionnaire'!A9</f>
        <v>1</v>
      </c>
      <c r="B26" s="29" t="str">
        <f>'1 - Stakeholder Questionnaire'!B9</f>
        <v>Has a documented and approved business justification been established for the vendor to access, process, store, transmit, or manage PHI and/or PII?</v>
      </c>
      <c r="C26" s="30" t="str">
        <f>'1 - Stakeholder Questionnaire'!C9</f>
        <v>Yes</v>
      </c>
      <c r="D26" s="30" t="str">
        <f>IF('1 - Stakeholder Questionnaire'!D9="","No comments provided",'1 - Stakeholder Questionnaire'!D9)</f>
        <v>No comments provided</v>
      </c>
    </row>
    <row r="27" spans="1:5" ht="26">
      <c r="A27" s="20">
        <f>'1 - Stakeholder Questionnaire'!A10</f>
        <v>2</v>
      </c>
      <c r="B27" s="31" t="str">
        <f>'1 - Stakeholder Questionnaire'!B10</f>
        <v>Has the healthcare business process, clinical workflow, or operational function supported by this vendor been clearly defined and documented?</v>
      </c>
      <c r="C27" s="27" t="str">
        <f>'1 - Stakeholder Questionnaire'!C10</f>
        <v>Yes</v>
      </c>
      <c r="D27" s="27" t="str">
        <f>IF('1 - Stakeholder Questionnaire'!D10="","No comments provided",'1 - Stakeholder Questionnaire'!D10)</f>
        <v>No comments provided</v>
      </c>
    </row>
    <row r="28" spans="1:5" ht="26">
      <c r="A28" s="20">
        <f>'1 - Stakeholder Questionnaire'!A11</f>
        <v>3</v>
      </c>
      <c r="B28" s="31" t="str">
        <f>'1 - Stakeholder Questionnaire'!B11</f>
        <v>Will the vendor's services be accessible to patients, members, providers, workforce members, or other external users?</v>
      </c>
      <c r="C28" s="27" t="str">
        <f>'1 - Stakeholder Questionnaire'!C11</f>
        <v>Select one…</v>
      </c>
      <c r="D28" s="27" t="str">
        <f>IF('1 - Stakeholder Questionnaire'!D11="","No comments provided",'1 - Stakeholder Questionnaire'!D11)</f>
        <v>No comments provided</v>
      </c>
    </row>
    <row r="29" spans="1:5" ht="39">
      <c r="A29" s="20">
        <f>'1 - Stakeholder Questionnaire'!A12</f>
        <v>4</v>
      </c>
      <c r="B29" s="27" t="str">
        <f>'1 - Stakeholder Questionnaire'!B12</f>
        <v>[IF YES] Have all required patient notices, consents, or authorizations been evaluated and implemented where required by HIPAA or applicable state privacy laws?</v>
      </c>
      <c r="C29" s="27" t="str">
        <f>'1 - Stakeholder Questionnaire'!C12</f>
        <v>Select one…</v>
      </c>
      <c r="D29" s="27" t="str">
        <f>IF('1 - Stakeholder Questionnaire'!D12="","No comments provided",'1 - Stakeholder Questionnaire'!D12)</f>
        <v>No comments provided</v>
      </c>
    </row>
    <row r="30" spans="1:5" ht="26">
      <c r="A30" s="20">
        <f>'1 - Stakeholder Questionnaire'!A13</f>
        <v>5</v>
      </c>
      <c r="B30" s="31" t="str">
        <f>'1 - Stakeholder Questionnaire'!B13</f>
        <v>Does the proposed use align with HIPAA, HITECH, organizational privacy policies, security policies, and data governance requirements?</v>
      </c>
      <c r="C30" s="27" t="str">
        <f>'1 - Stakeholder Questionnaire'!C13</f>
        <v>Select one…</v>
      </c>
      <c r="D30" s="27" t="str">
        <f>IF('1 - Stakeholder Questionnaire'!D13="","No comments provided",'1 - Stakeholder Questionnaire'!D13)</f>
        <v>No comments provided</v>
      </c>
    </row>
    <row r="31" spans="1:5" s="39" customFormat="1" ht="26">
      <c r="A31" s="20">
        <f>'1 - Stakeholder Questionnaire'!A14</f>
        <v>6</v>
      </c>
      <c r="B31" s="31" t="str">
        <f>'1 - Stakeholder Questionnaire'!B14</f>
        <v>Are there any contractual, regulatory, legal, or customer obligations that restrict or prohibit the use of this vendor?</v>
      </c>
      <c r="C31" s="27" t="str">
        <f>'1 - Stakeholder Questionnaire'!C14</f>
        <v>Select one…</v>
      </c>
      <c r="D31" s="27" t="str">
        <f>IF('1 - Stakeholder Questionnaire'!D14="","No comments provided",'1 - Stakeholder Questionnaire'!D14)</f>
        <v>No comments provided</v>
      </c>
      <c r="E31" s="32"/>
    </row>
    <row r="32" spans="1:5" s="39" customFormat="1" ht="26">
      <c r="A32" s="20">
        <f>'1 - Stakeholder Questionnaire'!A15</f>
        <v>7</v>
      </c>
      <c r="B32" s="31" t="str">
        <f>'1 - Stakeholder Questionnaire'!B15</f>
        <v>Do existing agreements, notices, consent forms, or Terms and Conditions require updates to address the vendor's access to or processing of PHI and PII?</v>
      </c>
      <c r="C32" s="27" t="str">
        <f>'1 - Stakeholder Questionnaire'!C15</f>
        <v>Select one…</v>
      </c>
      <c r="D32" s="27" t="str">
        <f>IF('1 - Stakeholder Questionnaire'!D15="","No comments provided",'1 - Stakeholder Questionnaire'!D15)</f>
        <v>No comments provided</v>
      </c>
      <c r="E32" s="32"/>
    </row>
    <row r="33" spans="1:5" s="42" customFormat="1" ht="26">
      <c r="A33" s="20">
        <f>'1 - Stakeholder Questionnaire'!A16</f>
        <v>8</v>
      </c>
      <c r="B33" s="27" t="str">
        <f>'1 - Stakeholder Questionnaire'!B16</f>
        <v>Has the organization identified and defined the types of PHI and/or PII involved, and how the vendor will access, process, store, transmit, and protect the data?</v>
      </c>
      <c r="C33" s="27" t="str">
        <f>'1 - Stakeholder Questionnaire'!C16</f>
        <v>Select one…</v>
      </c>
      <c r="D33" s="27" t="str">
        <f>IF('1 - Stakeholder Questionnaire'!D16="","No comments provided",'1 - Stakeholder Questionnaire'!D16)</f>
        <v>No comments provided</v>
      </c>
      <c r="E33" s="32"/>
    </row>
    <row r="34" spans="1:5" ht="26">
      <c r="A34" s="20">
        <f>'1 - Stakeholder Questionnaire'!A17</f>
        <v>9</v>
      </c>
      <c r="B34" s="27" t="str">
        <f>'1 - Stakeholder Questionnaire'!B17</f>
        <v>[IF YES] Will PHI be processed within a dedicated healthcare environment, a shared environment, or a third-party cloud environment?</v>
      </c>
      <c r="C34" s="27" t="str">
        <f>'1 - Stakeholder Questionnaire'!C17</f>
        <v>Select one…</v>
      </c>
      <c r="D34" s="27" t="str">
        <f>IF('1 - Stakeholder Questionnaire'!D17="","No comments provided",'1 - Stakeholder Questionnaire'!D17)</f>
        <v>No comments provided</v>
      </c>
    </row>
    <row r="35" spans="1:5" ht="26">
      <c r="A35" s="20">
        <f>'1 - Stakeholder Questionnaire'!A18</f>
        <v>10</v>
      </c>
      <c r="B35" s="31" t="str">
        <f>'1 - Stakeholder Questionnaire'!B18</f>
        <v>Can the vendor comply with HIPAA, HITECH, state privacy laws, and all applicable healthcare regulations?</v>
      </c>
      <c r="C35" s="27" t="str">
        <f>'1 - Stakeholder Questionnaire'!C18</f>
        <v>Select one…</v>
      </c>
      <c r="D35" s="27" t="str">
        <f>IF('1 - Stakeholder Questionnaire'!D18="","No comments provided",'1 - Stakeholder Questionnaire'!D18)</f>
        <v>No comments provided</v>
      </c>
    </row>
    <row r="36" spans="1:5">
      <c r="A36" s="21"/>
      <c r="B36" s="43"/>
      <c r="C36" s="44"/>
      <c r="D36" s="44"/>
    </row>
    <row r="37" spans="1:5" ht="18">
      <c r="A37" s="6"/>
      <c r="B37" s="160" t="s">
        <v>43</v>
      </c>
      <c r="C37" s="160"/>
      <c r="D37" s="160"/>
    </row>
    <row r="38" spans="1:5" ht="15">
      <c r="A38" s="146" t="s">
        <v>54</v>
      </c>
      <c r="B38" s="147"/>
      <c r="C38" s="148"/>
      <c r="D38" s="149"/>
    </row>
    <row r="39" spans="1:5" ht="14">
      <c r="A39" s="19" t="str">
        <f>'2 - Vendor Questionnaire'!A9</f>
        <v>1.0</v>
      </c>
      <c r="B39" s="167" t="str">
        <f>'2 - Vendor Questionnaire'!B9</f>
        <v>General (Discovery)</v>
      </c>
      <c r="C39" s="167"/>
      <c r="D39" s="168"/>
    </row>
    <row r="40" spans="1:5" ht="26">
      <c r="A40" s="15">
        <f>'2 - Vendor Questionnaire'!A10</f>
        <v>1.1000000000000001</v>
      </c>
      <c r="B40" s="45" t="str">
        <f>'2 - Vendor Questionnaire'!B10</f>
        <v>Does your organization process, store, transmit, or access Protected Health Information (PHI)?</v>
      </c>
      <c r="C40" s="45" t="str">
        <f>'2 - Vendor Questionnaire'!C10</f>
        <v>Yes</v>
      </c>
      <c r="D40" s="27" t="str">
        <f>IF('2 - Vendor Questionnaire'!D10="","No comments provided",'2 - Vendor Questionnaire'!D10)</f>
        <v>No comments provided</v>
      </c>
    </row>
    <row r="41" spans="1:5" ht="26">
      <c r="A41" s="15">
        <f>'2 - Vendor Questionnaire'!A11</f>
        <v>1.2</v>
      </c>
      <c r="B41" s="46" t="str">
        <f>'2 - Vendor Questionnaire'!B11</f>
        <v>[IF YES to 1.1 or 1.2] Describe how your service accesses, uses, stores, processes, transmits, and protects PHI.</v>
      </c>
      <c r="C41" s="45" t="str">
        <f>'2 - Vendor Questionnaire'!C11</f>
        <v>No</v>
      </c>
      <c r="D41" s="27" t="str">
        <f>IF('2 - Vendor Questionnaire'!D11="","No comments provided",'2 - Vendor Questionnaire'!D11)</f>
        <v>No comments provided</v>
      </c>
    </row>
    <row r="42" spans="1:5" ht="26">
      <c r="A42" s="15">
        <f>'2 - Vendor Questionnaire'!A12</f>
        <v>1.3</v>
      </c>
      <c r="B42" s="45" t="str">
        <f>'2 - Vendor Questionnaire'!B12</f>
        <v>[IF YES to 1.1 or 1.2] Will AI-generated outputs influence patient care, treatment decisions, diagnoses, or clinical recommendations?</v>
      </c>
      <c r="C42" s="45" t="str">
        <f>'2 - Vendor Questionnaire'!C12</f>
        <v>Select one…</v>
      </c>
      <c r="D42" s="27" t="str">
        <f>IF('2 - Vendor Questionnaire'!D12="","No comments provided",'2 - Vendor Questionnaire'!D12)</f>
        <v>No comments provided</v>
      </c>
    </row>
    <row r="43" spans="1:5" ht="14">
      <c r="A43" s="19">
        <f>'2 - Vendor Questionnaire'!A13</f>
        <v>2</v>
      </c>
      <c r="B43" s="161" t="str">
        <f>'2 - Vendor Questionnaire'!B13</f>
        <v>Data Privacy, Retention and Deletion</v>
      </c>
      <c r="C43" s="162">
        <f>'2 - Vendor Questionnaire'!C13</f>
        <v>0</v>
      </c>
      <c r="D43" s="163" t="str">
        <f>IF('2 - Vendor Questionnaire'!D13="","No comments provided",'2 - Vendor Questionnaire'!D13)</f>
        <v>No comments provided</v>
      </c>
    </row>
    <row r="44" spans="1:5" ht="26">
      <c r="A44" s="15">
        <f>'2 - Vendor Questionnaire'!A14</f>
        <v>2.1</v>
      </c>
      <c r="B44" s="46" t="str">
        <f>'2 - Vendor Questionnaire'!B14</f>
        <v>Has the vendor implemented controls to protect PHI and PII from unauthorized access, disclosure, alteration, misuse, or destruction?</v>
      </c>
      <c r="C44" s="45" t="str">
        <f>'2 - Vendor Questionnaire'!C14</f>
        <v>Yes</v>
      </c>
      <c r="D44" s="27" t="str">
        <f>IF('2 - Vendor Questionnaire'!D14="","No comments provided",'2 - Vendor Questionnaire'!D14)</f>
        <v>No comments provided</v>
      </c>
    </row>
    <row r="45" spans="1:5" ht="26">
      <c r="A45" s="15">
        <f>'2 - Vendor Questionnaire'!A15</f>
        <v>2.2000000000000002</v>
      </c>
      <c r="B45" s="46" t="str">
        <f>'2 - Vendor Questionnaire'!B15</f>
        <v>Do you provide privacy notices describing how PHI is collected, processed, stored, and disclosed?</v>
      </c>
      <c r="C45" s="45" t="str">
        <f>'2 - Vendor Questionnaire'!C15</f>
        <v>Partial (Explain)</v>
      </c>
      <c r="D45" s="27" t="str">
        <f>IF('2 - Vendor Questionnaire'!D15="","No comments provided",'2 - Vendor Questionnaire'!D15)</f>
        <v>No comments provided</v>
      </c>
    </row>
    <row r="46" spans="1:5" ht="26">
      <c r="A46" s="15">
        <f>'2 - Vendor Questionnaire'!A16</f>
        <v>2.2999999999999998</v>
      </c>
      <c r="B46" s="46" t="str">
        <f>'2 - Vendor Questionnaire'!B16</f>
        <v>Can PHI be excluded from optional processing, analytics, testing, or secondary use activities?</v>
      </c>
      <c r="C46" s="45" t="str">
        <f>'2 - Vendor Questionnaire'!C16</f>
        <v>Select one…</v>
      </c>
      <c r="D46" s="27" t="str">
        <f>IF('2 - Vendor Questionnaire'!D16="","No comments provided",'2 - Vendor Questionnaire'!D16)</f>
        <v>No comments provided</v>
      </c>
    </row>
    <row r="47" spans="1:5" ht="52">
      <c r="A47" s="15">
        <f>'2 - Vendor Questionnaire'!A17</f>
        <v>2.4</v>
      </c>
      <c r="B47" s="46" t="str">
        <f>'2 - Vendor Questionnaire'!B17</f>
        <v>Does the vendor provide a documented process that allows authorized users or organizations to request exclusion of PHI and/or PII from optional processing activities, including AI model training, analytics, product improvement, or other secondary uses?</v>
      </c>
      <c r="C47" s="45" t="str">
        <f>'2 - Vendor Questionnaire'!C17</f>
        <v>Select one…</v>
      </c>
      <c r="D47" s="27" t="str">
        <f>IF('2 - Vendor Questionnaire'!D17="","No comments provided",'2 - Vendor Questionnaire'!D17)</f>
        <v>No comments provided</v>
      </c>
    </row>
    <row r="48" spans="1:5" ht="26">
      <c r="A48" s="15">
        <f>'2 - Vendor Questionnaire'!A18</f>
        <v>2.5</v>
      </c>
      <c r="B48" s="45" t="str">
        <f>'2 - Vendor Questionnaire'!B18</f>
        <v>Has the vendor defined the service functionality that remains available when PHI processing restrictions, exclusions, or opt-out requirements are applied?</v>
      </c>
      <c r="C48" s="45" t="str">
        <f>'2 - Vendor Questionnaire'!C18</f>
        <v>Select one…</v>
      </c>
      <c r="D48" s="27" t="str">
        <f>IF('2 - Vendor Questionnaire'!D18="","No comments provided",'2 - Vendor Questionnaire'!D18)</f>
        <v>No comments provided</v>
      </c>
    </row>
    <row r="49" spans="1:4" ht="26">
      <c r="A49" s="15">
        <f>'2 - Vendor Questionnaire'!A19</f>
        <v>2.6</v>
      </c>
      <c r="B49" s="45" t="str">
        <f>'2 - Vendor Questionnaire'!B19</f>
        <v>Will PHI be used for analytics, machine learning, product improvement, testing, research, or any purpose other than providing contracted services?</v>
      </c>
      <c r="C49" s="45" t="str">
        <f>'2 - Vendor Questionnaire'!C19</f>
        <v>Select one…</v>
      </c>
      <c r="D49" s="27" t="str">
        <f>IF('2 - Vendor Questionnaire'!D19="","No comments provided",'2 - Vendor Questionnaire'!D19)</f>
        <v>No comments provided</v>
      </c>
    </row>
    <row r="50" spans="1:4" ht="26">
      <c r="A50" s="15">
        <f>'2 - Vendor Questionnaire'!A20</f>
        <v>2.7</v>
      </c>
      <c r="B50" s="46" t="str">
        <f>'2 - Vendor Questionnaire'!B20</f>
        <v>[IF YES] Can you provide evidence that PHI excluded from secondary use is not used for those purposes?</v>
      </c>
      <c r="C50" s="45" t="str">
        <f>'2 - Vendor Questionnaire'!C20</f>
        <v>Select one…</v>
      </c>
      <c r="D50" s="27" t="str">
        <f>IF('2 - Vendor Questionnaire'!D20="","No comments provided",'2 - Vendor Questionnaire'!D20)</f>
        <v>No comments provided</v>
      </c>
    </row>
    <row r="51" spans="1:4" ht="26">
      <c r="A51" s="15">
        <f>'2 - Vendor Questionnaire'!A21</f>
        <v>2.8</v>
      </c>
      <c r="B51" s="46" t="str">
        <f>'2 - Vendor Questionnaire'!B21</f>
        <v>Does the service process PHI and PII that can be attributed to specific patients, users, or healthcare organizations?</v>
      </c>
      <c r="C51" s="45" t="str">
        <f>'2 - Vendor Questionnaire'!C21</f>
        <v>Select one…</v>
      </c>
      <c r="D51" s="27" t="str">
        <f>IF('2 - Vendor Questionnaire'!D21="","No comments provided",'2 - Vendor Questionnaire'!D21)</f>
        <v>No comments provided</v>
      </c>
    </row>
    <row r="52" spans="1:4" ht="39">
      <c r="A52" s="15">
        <f>'2 - Vendor Questionnaire'!A22</f>
        <v>2.9</v>
      </c>
      <c r="B52" s="46" t="str">
        <f>'2 - Vendor Questionnaire'!B22</f>
        <v>Has the vendor established and documented retention periods for PHI and/or PII transmitted, processed, or stored through system integrations, APIs, or other interfaces?</v>
      </c>
      <c r="C52" s="45" t="str">
        <f>'2 - Vendor Questionnaire'!C22</f>
        <v>Select one…</v>
      </c>
      <c r="D52" s="27" t="str">
        <f>IF('2 - Vendor Questionnaire'!D22="","No comments provided",'2 - Vendor Questionnaire'!D22)</f>
        <v>No comments provided</v>
      </c>
    </row>
    <row r="53" spans="1:4" ht="26">
      <c r="A53" s="15" t="str">
        <f>'2 - Vendor Questionnaire'!A23</f>
        <v>2.10</v>
      </c>
      <c r="B53" s="46" t="str">
        <f>'2 - Vendor Questionnaire'!B23</f>
        <v>Does your organization have a defined process and timeframe for secure deletion of PHI and PII, including deletion from backups and disaster recovery systems?</v>
      </c>
      <c r="C53" s="45" t="str">
        <f>'2 - Vendor Questionnaire'!C23</f>
        <v>Select one…</v>
      </c>
      <c r="D53" s="27" t="str">
        <f>IF('2 - Vendor Questionnaire'!D23="","No comments provided",'2 - Vendor Questionnaire'!D23)</f>
        <v>No comments provided</v>
      </c>
    </row>
    <row r="54" spans="1:4" ht="26">
      <c r="A54" s="15">
        <f>'2 - Vendor Questionnaire'!A24</f>
        <v>2.11</v>
      </c>
      <c r="B54" s="46" t="str">
        <f>'2 - Vendor Questionnaire'!B24</f>
        <v>Can PHI and PII storage and processing be restricted to specific regions, countries, or jurisdictions?</v>
      </c>
      <c r="C54" s="45" t="str">
        <f>'2 - Vendor Questionnaire'!C24</f>
        <v>Select one…</v>
      </c>
      <c r="D54" s="27" t="str">
        <f>IF('2 - Vendor Questionnaire'!D24="","No comments provided",'2 - Vendor Questionnaire'!D24)</f>
        <v>No comments provided</v>
      </c>
    </row>
    <row r="55" spans="1:4" ht="39">
      <c r="A55" s="15">
        <f>'2 - Vendor Questionnaire'!A25</f>
        <v>2.12</v>
      </c>
      <c r="B55" s="46" t="str">
        <f>'2 - Vendor Questionnaire'!B25</f>
        <v>Are documented data retention schedules reviewed and approved periodically to ensure continued compliance with legal, regulatory, and contractual requirements?</v>
      </c>
      <c r="C55" s="45" t="str">
        <f>'2 - Vendor Questionnaire'!C25</f>
        <v>Select one…</v>
      </c>
      <c r="D55" s="27" t="str">
        <f>IF('2 - Vendor Questionnaire'!D25="","No comments provided",'2 - Vendor Questionnaire'!D25)</f>
        <v>No comments provided</v>
      </c>
    </row>
    <row r="56" spans="1:4" ht="26">
      <c r="A56" s="15">
        <f>'2 - Vendor Questionnaire'!A26</f>
        <v>2.13</v>
      </c>
      <c r="B56" s="46" t="str">
        <f>'2 - Vendor Questionnaire'!B26</f>
        <v>Can you provide confirmation or evidence when PHI and PII has been deleted following a customer request?</v>
      </c>
      <c r="C56" s="45" t="str">
        <f>'2 - Vendor Questionnaire'!C26</f>
        <v>Select one…</v>
      </c>
      <c r="D56" s="27" t="str">
        <f>IF('2 - Vendor Questionnaire'!D26="","No comments provided",'2 - Vendor Questionnaire'!D26)</f>
        <v>No comments provided</v>
      </c>
    </row>
    <row r="57" spans="1:4" ht="14">
      <c r="A57" s="19" t="str">
        <f>'2 - Vendor Questionnaire'!A27</f>
        <v>3.0</v>
      </c>
      <c r="B57" s="164" t="str">
        <f>'2 - Vendor Questionnaire'!B27</f>
        <v>Model Training, Validation, and Maintenance</v>
      </c>
      <c r="C57" s="165"/>
      <c r="D57" s="166"/>
    </row>
    <row r="58" spans="1:4" ht="39">
      <c r="A58" s="15">
        <f>'2 - Vendor Questionnaire'!A28</f>
        <v>3.1</v>
      </c>
      <c r="B58" s="46" t="str">
        <f>'2 - Vendor Questionnaire'!B28</f>
        <v>Has the vendor identified and documented all AI, machine learning, and foundational models used to provide the service, including model names, providers, and versions?</v>
      </c>
      <c r="C58" s="45" t="str">
        <f>'2 - Vendor Questionnaire'!C28</f>
        <v>Yes</v>
      </c>
      <c r="D58" s="27" t="str">
        <f>IF('2 - Vendor Questionnaire'!D28="","No comments provided",'2 - Vendor Questionnaire'!D28)</f>
        <v>No comments provided</v>
      </c>
    </row>
    <row r="59" spans="1:4" ht="39">
      <c r="A59" s="15">
        <f>'2 - Vendor Questionnaire'!A29</f>
        <v>3.2</v>
      </c>
      <c r="B59" s="46" t="str">
        <f>'2 - Vendor Questionnaire'!B29</f>
        <v>Does the service rely on one or more Large Language Models (LLMs), machine learning models, predictive analytics models, generative AI models, or other AI technologies?</v>
      </c>
      <c r="C59" s="45" t="str">
        <f>'2 - Vendor Questionnaire'!C29</f>
        <v>Yes</v>
      </c>
      <c r="D59" s="27" t="str">
        <f>IF('2 - Vendor Questionnaire'!D29="","No comments provided",'2 - Vendor Questionnaire'!D29)</f>
        <v>No comments provided</v>
      </c>
    </row>
    <row r="60" spans="1:4" ht="26">
      <c r="A60" s="15">
        <f>'2 - Vendor Questionnaire'!A30</f>
        <v>3.3</v>
      </c>
      <c r="B60" s="45" t="str">
        <f>'2 - Vendor Questionnaire'!B30</f>
        <v>Are the AI models used by the service proprietary, open-source, third-party provided, vendor-developed, or a combination thereof?</v>
      </c>
      <c r="C60" s="45" t="str">
        <f>'2 - Vendor Questionnaire'!C30</f>
        <v>Select one…</v>
      </c>
      <c r="D60" s="27" t="str">
        <f>IF('2 - Vendor Questionnaire'!D30="","No comments provided",'2 - Vendor Questionnaire'!D30)</f>
        <v>No comments provided</v>
      </c>
    </row>
    <row r="61" spans="1:4" ht="26">
      <c r="A61" s="15">
        <f>'2 - Vendor Questionnaire'!A31</f>
        <v>3.4</v>
      </c>
      <c r="B61" s="46" t="str">
        <f>'2 - Vendor Questionnaire'!B31</f>
        <v>Is PHI, PII, ePHI, or customer healthcare data used to train, fine-tune, benchmark, evaluate, or improve the model?</v>
      </c>
      <c r="C61" s="45" t="str">
        <f>'2 - Vendor Questionnaire'!C31</f>
        <v>Select one…</v>
      </c>
      <c r="D61" s="27" t="str">
        <f>IF('2 - Vendor Questionnaire'!D31="","No comments provided",'2 - Vendor Questionnaire'!D31)</f>
        <v>No comments provided</v>
      </c>
    </row>
    <row r="62" spans="1:4" ht="26">
      <c r="A62" s="15">
        <f>'2 - Vendor Questionnaire'!A32</f>
        <v>3.5</v>
      </c>
      <c r="B62" s="46" t="str">
        <f>'2 - Vendor Questionnaire'!B32</f>
        <v>Do you check the provenance of the data in the training set to ensure its use is permitted?</v>
      </c>
      <c r="C62" s="45" t="str">
        <f>'2 - Vendor Questionnaire'!C32</f>
        <v>Select one…</v>
      </c>
      <c r="D62" s="27" t="str">
        <f>IF('2 - Vendor Questionnaire'!D32="","No comments provided",'2 - Vendor Questionnaire'!D32)</f>
        <v>No comments provided</v>
      </c>
    </row>
    <row r="63" spans="1:4" ht="26">
      <c r="A63" s="15">
        <f>'2 - Vendor Questionnaire'!A33</f>
        <v>3.6</v>
      </c>
      <c r="B63" s="46" t="str">
        <f>'2 - Vendor Questionnaire'!B33</f>
        <v>Is data used for model training, testing, or validation de-identified, aggregated, or anonymized where appropriate?</v>
      </c>
      <c r="C63" s="45" t="str">
        <f>'2 - Vendor Questionnaire'!C33</f>
        <v>Select one…</v>
      </c>
      <c r="D63" s="27" t="str">
        <f>IF('2 - Vendor Questionnaire'!D33="","No comments provided",'2 - Vendor Questionnaire'!D33)</f>
        <v>No comments provided</v>
      </c>
    </row>
    <row r="64" spans="1:4" ht="26">
      <c r="A64" s="15">
        <f>'2 - Vendor Questionnaire'!A34</f>
        <v>3.7</v>
      </c>
      <c r="B64" s="46" t="str">
        <f>'2 - Vendor Questionnaire'!B34</f>
        <v>Does your model training process include human review or reinforcement learning from human feedback?</v>
      </c>
      <c r="C64" s="45" t="str">
        <f>'2 - Vendor Questionnaire'!C34</f>
        <v>Select one…</v>
      </c>
      <c r="D64" s="27" t="str">
        <f>IF('2 - Vendor Questionnaire'!D34="","No comments provided",'2 - Vendor Questionnaire'!D34)</f>
        <v>No comments provided</v>
      </c>
    </row>
    <row r="65" spans="1:4" ht="15.75" customHeight="1">
      <c r="A65" s="15">
        <f>'2 - Vendor Questionnaire'!A35</f>
        <v>3.8</v>
      </c>
      <c r="B65" s="46" t="str">
        <f>'2 - Vendor Questionnaire'!B35</f>
        <v>Do you publish a change log for the model?</v>
      </c>
      <c r="C65" s="45" t="str">
        <f>'2 - Vendor Questionnaire'!C35</f>
        <v>Select one…</v>
      </c>
      <c r="D65" s="27" t="str">
        <f>IF('2 - Vendor Questionnaire'!D35="","No comments provided",'2 - Vendor Questionnaire'!D35)</f>
        <v>No comments provided</v>
      </c>
    </row>
    <row r="66" spans="1:4" ht="13">
      <c r="A66" s="15">
        <f>'2 - Vendor Questionnaire'!A36</f>
        <v>3.9</v>
      </c>
      <c r="B66" s="46" t="str">
        <f>'2 - Vendor Questionnaire'!B36</f>
        <v>Have you performed any independent audits or validation of AI model outputs?</v>
      </c>
      <c r="C66" s="45" t="str">
        <f>'2 - Vendor Questionnaire'!C36</f>
        <v>Select one…</v>
      </c>
      <c r="D66" s="27" t="str">
        <f>IF('2 - Vendor Questionnaire'!D36="","No comments provided",'2 - Vendor Questionnaire'!D36)</f>
        <v>No comments provided</v>
      </c>
    </row>
    <row r="67" spans="1:4" ht="13">
      <c r="A67" s="15">
        <f>'2 - Vendor Questionnaire'!A38</f>
        <v>3.11</v>
      </c>
      <c r="B67" s="45" t="str">
        <f>'2 - Vendor Questionnaire'!B38</f>
        <v>Is frequency of model validation and testing defined and documented?</v>
      </c>
      <c r="C67" s="45" t="str">
        <f>'2 - Vendor Questionnaire'!C38</f>
        <v>Select one…</v>
      </c>
      <c r="D67" s="27" t="str">
        <f>IF('2 - Vendor Questionnaire'!D38="","No comments provided",'2 - Vendor Questionnaire'!D38)</f>
        <v>No comments provided</v>
      </c>
    </row>
    <row r="68" spans="1:4" ht="13">
      <c r="A68" s="15">
        <f>'2 - Vendor Questionnaire'!A39</f>
        <v>3.12</v>
      </c>
      <c r="B68" s="45" t="str">
        <f>'2 - Vendor Questionnaire'!B39</f>
        <v>Are AI-related incidents tracked, investigated, and documented?</v>
      </c>
      <c r="C68" s="45" t="str">
        <f>'2 - Vendor Questionnaire'!C39</f>
        <v>Select one…</v>
      </c>
      <c r="D68" s="27" t="str">
        <f>IF('2 - Vendor Questionnaire'!D39="","No comments provided",'2 - Vendor Questionnaire'!D39)</f>
        <v>No comments provided</v>
      </c>
    </row>
    <row r="69" spans="1:4" ht="15">
      <c r="A69" s="61" t="str">
        <f>'2 - Vendor Questionnaire'!A40</f>
        <v>4.0</v>
      </c>
      <c r="B69" s="125" t="str">
        <f>'2 - Vendor Questionnaire'!B40</f>
        <v xml:space="preserve">AI &amp; Information Security </v>
      </c>
      <c r="C69" s="126"/>
      <c r="D69" s="127"/>
    </row>
    <row r="70" spans="1:4" ht="26">
      <c r="A70" s="15">
        <f>'2 - Vendor Questionnaire'!A41</f>
        <v>4.0999999999999996</v>
      </c>
      <c r="B70" s="46" t="str">
        <f>'2 - Vendor Questionnaire'!B41</f>
        <v>Are penetration tests or other types of security assessments conducted on the model?</v>
      </c>
      <c r="C70" s="45" t="str">
        <f>'2 - Vendor Questionnaire'!C41</f>
        <v>Yes</v>
      </c>
      <c r="D70" s="27" t="str">
        <f>IF('2 - Vendor Questionnaire'!D41="","No comments provided",'2 - Vendor Questionnaire'!D41)</f>
        <v>No comments provided</v>
      </c>
    </row>
    <row r="71" spans="1:4" ht="26">
      <c r="A71" s="15">
        <f>'2 - Vendor Questionnaire'!A42</f>
        <v>4.2</v>
      </c>
      <c r="B71" s="46" t="str">
        <f>'2 - Vendor Questionnaire'!B42</f>
        <v>[IF YES] Are independent third-party security assessments performed periodically?</v>
      </c>
      <c r="C71" s="45" t="str">
        <f>'2 - Vendor Questionnaire'!C42</f>
        <v>No</v>
      </c>
      <c r="D71" s="27" t="str">
        <f>IF('2 - Vendor Questionnaire'!D42="","No comments provided",'2 - Vendor Questionnaire'!D42)</f>
        <v>No comments provided</v>
      </c>
    </row>
    <row r="72" spans="1:4" ht="26">
      <c r="A72" s="15">
        <f>'2 - Vendor Questionnaire'!A43</f>
        <v>4.3</v>
      </c>
      <c r="B72" s="46" t="str">
        <f>'2 - Vendor Questionnaire'!B43</f>
        <v>Are vulnerability assessments, penetration tests, and security reviews performed in defined intervals?</v>
      </c>
      <c r="C72" s="45" t="str">
        <f>'2 - Vendor Questionnaire'!C43</f>
        <v>Select one…</v>
      </c>
      <c r="D72" s="27" t="str">
        <f>IF('2 - Vendor Questionnaire'!D43="","No comments provided",'2 - Vendor Questionnaire'!D43)</f>
        <v>No comments provided</v>
      </c>
    </row>
    <row r="73" spans="1:4" ht="26">
      <c r="A73" s="15">
        <f>'2 - Vendor Questionnaire'!A44</f>
        <v>4.4000000000000004</v>
      </c>
      <c r="B73" s="46" t="str">
        <f>'2 - Vendor Questionnaire'!B44</f>
        <v>Are customers permitted to perform authorized security testing, red teaming, or penetration testing of the service, subject to agreed terms and conditions?</v>
      </c>
      <c r="C73" s="45" t="str">
        <f>'2 - Vendor Questionnaire'!C44</f>
        <v>Select one…</v>
      </c>
      <c r="D73" s="27" t="str">
        <f>IF('2 - Vendor Questionnaire'!D44="","No comments provided",'2 - Vendor Questionnaire'!D44)</f>
        <v>No comments provided</v>
      </c>
    </row>
    <row r="74" spans="1:4" ht="26">
      <c r="A74" s="15">
        <f>'2 - Vendor Questionnaire'!A45</f>
        <v>4.5</v>
      </c>
      <c r="B74" s="46" t="str">
        <f>'2 - Vendor Questionnaire'!B45</f>
        <v>Do you ensure that third-party libraries and components integrated into the AI system are current and secure?</v>
      </c>
      <c r="C74" s="45" t="str">
        <f>'2 - Vendor Questionnaire'!C45</f>
        <v>Select one…</v>
      </c>
      <c r="D74" s="27" t="str">
        <f>IF('2 - Vendor Questionnaire'!D45="","No comments provided",'2 - Vendor Questionnaire'!D45)</f>
        <v>No comments provided</v>
      </c>
    </row>
    <row r="75" spans="1:4" ht="26">
      <c r="A75" s="15">
        <f>'2 - Vendor Questionnaire'!A46</f>
        <v>4.5999999999999996</v>
      </c>
      <c r="B75" s="46" t="str">
        <f>'2 - Vendor Questionnaire'!B46</f>
        <v>Are you able to provide evidence of the implementation, effectiveness, and maintenance of security controls within the AI system?</v>
      </c>
      <c r="C75" s="45" t="str">
        <f>'2 - Vendor Questionnaire'!C46</f>
        <v>Select one…</v>
      </c>
      <c r="D75" s="27" t="str">
        <f>IF('2 - Vendor Questionnaire'!D46="","No comments provided",'2 - Vendor Questionnaire'!D46)</f>
        <v>No comments provided</v>
      </c>
    </row>
    <row r="76" spans="1:4" ht="26">
      <c r="A76" s="15">
        <f>'2 - Vendor Questionnaire'!A47</f>
        <v>4.7</v>
      </c>
      <c r="B76" s="46" t="str">
        <f>'2 - Vendor Questionnaire'!B47</f>
        <v>Does the solution support Single Sign-On (SSO) integration with enterprise identity providers (e.g., Azure AD, Okta)?</v>
      </c>
      <c r="C76" s="45" t="str">
        <f>'2 - Vendor Questionnaire'!C47</f>
        <v>Select one…</v>
      </c>
      <c r="D76" s="27" t="str">
        <f>IF('2 - Vendor Questionnaire'!D47="","No comments provided",'2 - Vendor Questionnaire'!D47)</f>
        <v>No comments provided</v>
      </c>
    </row>
    <row r="77" spans="1:4" ht="39">
      <c r="A77" s="15">
        <f>'2 - Vendor Questionnaire'!A48</f>
        <v>4.8</v>
      </c>
      <c r="B77" s="46" t="str">
        <f>'2 - Vendor Questionnaire'!B48</f>
        <v>Does the organization maintain formal change management and release management processes to evaluate security, privacy, and compliance impacts before deploying model or system changes?</v>
      </c>
      <c r="C77" s="45" t="str">
        <f>'2 - Vendor Questionnaire'!C48</f>
        <v>Select one…</v>
      </c>
      <c r="D77" s="27" t="str">
        <f>IF('2 - Vendor Questionnaire'!D48="","No comments provided",'2 - Vendor Questionnaire'!D48)</f>
        <v>No comments provided</v>
      </c>
    </row>
    <row r="78" spans="1:4" ht="26">
      <c r="A78" s="15">
        <f>'2 - Vendor Questionnaire'!A49</f>
        <v>4.9000000000000004</v>
      </c>
      <c r="B78" s="45" t="str">
        <f>'2 - Vendor Questionnaire'!B49</f>
        <v>Do you log and monitor security-related events within the AI system (e.g., breaches, data exfiltration attempts, or attempted exploits)?</v>
      </c>
      <c r="C78" s="45" t="str">
        <f>'2 - Vendor Questionnaire'!C49</f>
        <v>Select one…</v>
      </c>
      <c r="D78" s="27" t="str">
        <f>IF('2 - Vendor Questionnaire'!D49="","No comments provided",'2 - Vendor Questionnaire'!D49)</f>
        <v>No comments provided</v>
      </c>
    </row>
    <row r="79" spans="1:4" ht="26">
      <c r="A79" s="15" t="str">
        <f>'2 - Vendor Questionnaire'!A50</f>
        <v>4.10</v>
      </c>
      <c r="B79" s="45" t="str">
        <f>'2 - Vendor Questionnaire'!B50</f>
        <v>Is there formalized training to ensure stakeholders remain current on best practices, emerging threats, and risks associated with AI?</v>
      </c>
      <c r="C79" s="45" t="str">
        <f>'2 - Vendor Questionnaire'!C50</f>
        <v>Select one…</v>
      </c>
      <c r="D79" s="27" t="str">
        <f>IF('2 - Vendor Questionnaire'!D50="","No comments provided",'2 - Vendor Questionnaire'!D50)</f>
        <v>No comments provided</v>
      </c>
    </row>
    <row r="80" spans="1:4" ht="26">
      <c r="A80" s="15">
        <f>'2 - Vendor Questionnaire'!A51</f>
        <v>4.1100000000000003</v>
      </c>
      <c r="B80" s="45" t="str">
        <f>'2 - Vendor Questionnaire'!B51</f>
        <v>Are precaution measures in place to prevent unintentional leakage of private or sensitive information?</v>
      </c>
      <c r="C80" s="45" t="str">
        <f>'2 - Vendor Questionnaire'!C51</f>
        <v>Select one…</v>
      </c>
      <c r="D80" s="27" t="str">
        <f>IF('2 - Vendor Questionnaire'!D51="","No comments provided",'2 - Vendor Questionnaire'!D51)</f>
        <v>No comments provided</v>
      </c>
    </row>
    <row r="81" spans="1:4" ht="26">
      <c r="A81" s="15">
        <f>'2 - Vendor Questionnaire'!A52</f>
        <v>4.12</v>
      </c>
      <c r="B81" s="45" t="str">
        <f>'2 - Vendor Questionnaire'!B52</f>
        <v>Do you maintain a Business Continuity Plan (BCP) and Disaster Recovery (DR) plan to protect the availability of PHI and PII?</v>
      </c>
      <c r="C81" s="45" t="str">
        <f>'2 - Vendor Questionnaire'!C52</f>
        <v>Select one…</v>
      </c>
      <c r="D81" s="27" t="str">
        <f>IF('2 - Vendor Questionnaire'!D52="","No comments provided",'2 - Vendor Questionnaire'!D52)</f>
        <v>No comments provided</v>
      </c>
    </row>
    <row r="82" spans="1:4" ht="26">
      <c r="A82" s="15">
        <f>'2 - Vendor Questionnaire'!A53</f>
        <v>4.13</v>
      </c>
      <c r="B82" s="45" t="str">
        <f>'2 - Vendor Questionnaire'!B53</f>
        <v>Are safeguards implemented to protect the AI system against malicious input and prompt injection attacks?</v>
      </c>
      <c r="C82" s="45" t="str">
        <f>'2 - Vendor Questionnaire'!C53</f>
        <v>Select one…</v>
      </c>
      <c r="D82" s="27" t="str">
        <f>IF('2 - Vendor Questionnaire'!D53="","No comments provided",'2 - Vendor Questionnaire'!D53)</f>
        <v>No comments provided</v>
      </c>
    </row>
    <row r="83" spans="1:4" ht="26">
      <c r="A83" s="15">
        <f>'2 - Vendor Questionnaire'!A54</f>
        <v>4.1399999999999997</v>
      </c>
      <c r="B83" s="45" t="str">
        <f>'2 - Vendor Questionnaire'!B54</f>
        <v>Do you maintain a formal vulnerability management and patch management program?</v>
      </c>
      <c r="C83" s="45" t="str">
        <f>'2 - Vendor Questionnaire'!C54</f>
        <v>Select one…</v>
      </c>
      <c r="D83" s="27" t="str">
        <f>IF('2 - Vendor Questionnaire'!D54="","No comments provided",'2 - Vendor Questionnaire'!D54)</f>
        <v>No comments provided</v>
      </c>
    </row>
    <row r="84" spans="1:4" ht="13">
      <c r="A84" s="15">
        <f>'2 - Vendor Questionnaire'!A55</f>
        <v>4.1500000000000004</v>
      </c>
      <c r="B84" s="45" t="str">
        <f>'2 - Vendor Questionnaire'!B55</f>
        <v>Are audit logs maintained for access to PHI, PII and security-relevant activities?</v>
      </c>
      <c r="C84" s="45" t="str">
        <f>'2 - Vendor Questionnaire'!C55</f>
        <v>Select one…</v>
      </c>
      <c r="D84" s="27" t="str">
        <f>IF('2 - Vendor Questionnaire'!D55="","No comments provided",'2 - Vendor Questionnaire'!D55)</f>
        <v>No comments provided</v>
      </c>
    </row>
    <row r="85" spans="1:4" ht="26">
      <c r="A85" s="15">
        <f>'2 - Vendor Questionnaire'!A56</f>
        <v>4.16</v>
      </c>
      <c r="B85" s="45" t="str">
        <f>'2 - Vendor Questionnaire'!B56</f>
        <v>Is PHI and PII encrypted in transit and at rest using industry-standard encryption methods?</v>
      </c>
      <c r="C85" s="45" t="str">
        <f>'2 - Vendor Questionnaire'!C56</f>
        <v>Select one…</v>
      </c>
      <c r="D85" s="27" t="str">
        <f>IF('2 - Vendor Questionnaire'!D56="","No comments provided",'2 - Vendor Questionnaire'!D56)</f>
        <v>No comments provided</v>
      </c>
    </row>
    <row r="86" spans="1:4" ht="26">
      <c r="A86" s="15">
        <f>'2 - Vendor Questionnaire'!A57</f>
        <v>4.17</v>
      </c>
      <c r="B86" s="45" t="str">
        <f>'2 - Vendor Questionnaire'!B57</f>
        <v>Do you maintain a documented incident response plan and security incident notification process?</v>
      </c>
      <c r="C86" s="45" t="str">
        <f>'2 - Vendor Questionnaire'!C57</f>
        <v>Select one…</v>
      </c>
      <c r="D86" s="27" t="str">
        <f>IF('2 - Vendor Questionnaire'!D57="","No comments provided",'2 - Vendor Questionnaire'!D57)</f>
        <v>No comments provided</v>
      </c>
    </row>
    <row r="87" spans="1:4" ht="13">
      <c r="A87" s="15">
        <f>'2 - Vendor Questionnaire'!A62</f>
        <v>2.2200000000000002</v>
      </c>
      <c r="B87" s="45" t="str">
        <f>'2 - Vendor Questionnaire'!B62</f>
        <v>Has an AI risk owner been formally assigned?</v>
      </c>
      <c r="C87" s="45" t="str">
        <f>'2 - Vendor Questionnaire'!C62</f>
        <v>Select one…</v>
      </c>
      <c r="D87" s="27" t="str">
        <f>IF('2 - Vendor Questionnaire'!D62="","No comments provided",'2 - Vendor Questionnaire'!D62)</f>
        <v>No comments provided</v>
      </c>
    </row>
    <row r="88" spans="1:4" ht="26">
      <c r="A88" s="15">
        <f>'2 - Vendor Questionnaire'!A63</f>
        <v>4.2300000000000004</v>
      </c>
      <c r="B88" s="45" t="str">
        <f>'2 - Vendor Questionnaire'!B63</f>
        <v>Have all critical or high-risk findings identified during independent security assessments been remediated?</v>
      </c>
      <c r="C88" s="45" t="str">
        <f>'2 - Vendor Questionnaire'!C63</f>
        <v>Select one…</v>
      </c>
      <c r="D88" s="27" t="str">
        <f>IF('2 - Vendor Questionnaire'!D63="","No comments provided",'2 - Vendor Questionnaire'!D63)</f>
        <v>No comments provided</v>
      </c>
    </row>
    <row r="89" spans="1:4" ht="15">
      <c r="A89" s="61" t="str">
        <f>'2 - Vendor Questionnaire'!A64</f>
        <v>5.0</v>
      </c>
      <c r="B89" s="157" t="s">
        <v>23</v>
      </c>
      <c r="C89" s="158"/>
      <c r="D89" s="159"/>
    </row>
    <row r="90" spans="1:4" ht="26">
      <c r="A90" s="15">
        <f>'2 - Vendor Questionnaire'!A65</f>
        <v>5.0999999999999996</v>
      </c>
      <c r="B90" s="45" t="str">
        <f>'2 - Vendor Questionnaire'!B65</f>
        <v>Does the solution provide APIs or integration capabilities with healthcare systems that process PHI?</v>
      </c>
      <c r="C90" s="45" t="str">
        <f>'2 - Vendor Questionnaire'!C65</f>
        <v>Yes</v>
      </c>
      <c r="D90" s="27" t="str">
        <f>IF('2 - Vendor Questionnaire'!D65="","No comments provided",'2 - Vendor Questionnaire'!D65)</f>
        <v>No comments provided</v>
      </c>
    </row>
    <row r="91" spans="1:4" ht="26">
      <c r="A91" s="15">
        <f>'2 - Vendor Questionnaire'!A66</f>
        <v>5.2</v>
      </c>
      <c r="B91" s="45" t="str">
        <f>'2 - Vendor Questionnaire'!B66</f>
        <v>Are third-party integrations, plugins, or extensions reviewed and approved for security, privacy, and HIPAA compliance before deployment?</v>
      </c>
      <c r="C91" s="45" t="str">
        <f>'2 - Vendor Questionnaire'!C66</f>
        <v>Yes</v>
      </c>
      <c r="D91" s="27" t="str">
        <f>IF('2 - Vendor Questionnaire'!D66="","No comments provided",'2 - Vendor Questionnaire'!D66)</f>
        <v>No comments provided</v>
      </c>
    </row>
    <row r="92" spans="1:4" ht="26">
      <c r="A92" s="15">
        <f>'2 - Vendor Questionnaire'!A67</f>
        <v>5.3</v>
      </c>
      <c r="B92" s="45" t="str">
        <f>'2 - Vendor Questionnaire'!B67</f>
        <v>Which healthcare systems, applications, or platforms can the solution integrate with (e.g., EHR/EMR, identity providers, SIEM, cloud services)?</v>
      </c>
      <c r="C92" s="45" t="str">
        <f>'2 - Vendor Questionnaire'!C67</f>
        <v>Select one…</v>
      </c>
      <c r="D92" s="27" t="str">
        <f>IF('2 - Vendor Questionnaire'!D67="","No comments provided",'2 - Vendor Questionnaire'!D67)</f>
        <v>No comments provided</v>
      </c>
    </row>
    <row r="93" spans="1:4" ht="15">
      <c r="A93" s="61" t="str">
        <f>'2 - Vendor Questionnaire'!A68</f>
        <v>6.0</v>
      </c>
      <c r="B93" s="125" t="s">
        <v>165</v>
      </c>
      <c r="C93" s="126"/>
      <c r="D93" s="127"/>
    </row>
    <row r="94" spans="1:4" ht="26">
      <c r="A94" s="15">
        <f>'2 - Vendor Questionnaire'!A69</f>
        <v>6.1</v>
      </c>
      <c r="B94" s="45" t="str">
        <f>'2 - Vendor Questionnaire'!B69</f>
        <v>Do you utilize subcontractors, cloud providers, or third parties that create, receive, maintain, or transmit PHI?</v>
      </c>
      <c r="C94" s="45" t="str">
        <f>'2 - Vendor Questionnaire'!C65</f>
        <v>Yes</v>
      </c>
      <c r="D94" s="27" t="str">
        <f>IF('2 - Vendor Questionnaire'!D69="","No comments provided",'2 - Vendor Questionnaire'!D69)</f>
        <v>No comments provided</v>
      </c>
    </row>
    <row r="95" spans="1:4" ht="26">
      <c r="A95" s="15">
        <f>'2 - Vendor Questionnaire'!A70</f>
        <v>6.2</v>
      </c>
      <c r="B95" s="45" t="str">
        <f>'2 - Vendor Questionnaire'!B70</f>
        <v>Will any subcontractor have access to PHI, ePHI, metadata, logs, backups, or customer information?</v>
      </c>
      <c r="C95" s="45" t="str">
        <f>'2 - Vendor Questionnaire'!C66</f>
        <v>Yes</v>
      </c>
      <c r="D95" s="27" t="str">
        <f>IF('2 - Vendor Questionnaire'!D70="","No comments provided",'2 - Vendor Questionnaire'!D70)</f>
        <v>No comments provided</v>
      </c>
    </row>
    <row r="96" spans="1:4" ht="26">
      <c r="A96" s="15">
        <f>'2 - Vendor Questionnaire'!A71</f>
        <v>6.3</v>
      </c>
      <c r="B96" s="45" t="str">
        <f>'2 - Vendor Questionnaire'!B71</f>
        <v>Do you maintain a documented Third-Party Risk Management (TPRM) program for assessing and monitoring subcontractors?</v>
      </c>
      <c r="C96" s="45" t="str">
        <f>'2 - Vendor Questionnaire'!C67</f>
        <v>Select one…</v>
      </c>
      <c r="D96" s="27" t="str">
        <f>IF('2 - Vendor Questionnaire'!D71="","No comments provided",'2 - Vendor Questionnaire'!D71)</f>
        <v>No comments provided</v>
      </c>
    </row>
    <row r="97" spans="1:4" ht="15">
      <c r="A97" s="61" t="str">
        <f>'2 - Vendor Questionnaire'!A72</f>
        <v>7.0</v>
      </c>
      <c r="B97" s="125" t="str">
        <f>'2 - Vendor Questionnaire'!B72</f>
        <v>Legal, Regulatory, and Compliance</v>
      </c>
      <c r="C97" s="126" t="str">
        <f>'2 - Vendor Questionnaire'!C72</f>
        <v>Select one…</v>
      </c>
      <c r="D97" s="127" t="str">
        <f>IF('2 - Vendor Questionnaire'!D72="","No comments provided",'2 - Vendor Questionnaire'!D72)</f>
        <v>No comments provided</v>
      </c>
    </row>
    <row r="98" spans="1:4" ht="26">
      <c r="A98" s="15">
        <f>'2 - Vendor Questionnaire'!A73</f>
        <v>7.1</v>
      </c>
      <c r="B98" s="46" t="str">
        <f>'2 - Vendor Questionnaire'!B73</f>
        <v>Will you execute a Business Associate Agreement (BAA) if you create, receive, maintain, or transmit PHI and PII?</v>
      </c>
      <c r="C98" s="45" t="str">
        <f>'2 - Vendor Questionnaire'!C73</f>
        <v>Yes</v>
      </c>
      <c r="D98" s="27" t="str">
        <f>IF('2 - Vendor Questionnaire'!D73="","No comments provided",'2 - Vendor Questionnaire'!D73)</f>
        <v>No comments provided</v>
      </c>
    </row>
    <row r="99" spans="1:4" ht="26">
      <c r="A99" s="15">
        <f>'2 - Vendor Questionnaire'!A76</f>
        <v>7.4</v>
      </c>
      <c r="B99" s="45" t="str">
        <f>'2 - Vendor Questionnaire'!B76</f>
        <v>Can you provide evidence of compliance (e.g., HIPAA assessment, SOC 2, HITRUST, ISO 27001, or independent audit reports)?</v>
      </c>
      <c r="C99" s="45" t="str">
        <f>'2 - Vendor Questionnaire'!C76</f>
        <v>Select one…</v>
      </c>
      <c r="D99" s="27" t="str">
        <f>IF('2 - Vendor Questionnaire'!D76="","No comments provided",'2 - Vendor Questionnaire'!D76)</f>
        <v>No comments provided</v>
      </c>
    </row>
    <row r="100" spans="1:4" ht="26">
      <c r="A100" s="15">
        <f>'2 - Vendor Questionnaire'!A78</f>
        <v>7.6</v>
      </c>
      <c r="B100" s="45" t="str">
        <f>'2 - Vendor Questionnaire'!B78</f>
        <v>Are ownership rights for customer data, PHI, PII, and AI-generated outputs clearly defined and documented within contractual agreements?</v>
      </c>
      <c r="C100" s="45" t="str">
        <f>'2 - Vendor Questionnaire'!C78</f>
        <v>Select one…</v>
      </c>
      <c r="D100" s="27" t="str">
        <f>IF('2 - Vendor Questionnaire'!D78="","No comments provided",'2 - Vendor Questionnaire'!D78)</f>
        <v>No comments provided</v>
      </c>
    </row>
    <row r="101" spans="1:4" ht="15" customHeight="1">
      <c r="A101" s="14" t="s">
        <v>195</v>
      </c>
      <c r="B101" s="125" t="s">
        <v>193</v>
      </c>
      <c r="C101" s="126"/>
      <c r="D101" s="127"/>
    </row>
    <row r="102" spans="1:4" ht="26">
      <c r="A102" s="81">
        <v>8.1</v>
      </c>
      <c r="B102" s="45" t="str">
        <f>'2 - Vendor Questionnaire'!B82</f>
        <v>Do you monitor and review access to PHI to detect inappropriate access, misuse, or unauthorized disclosure?</v>
      </c>
      <c r="C102" s="58" t="s">
        <v>28</v>
      </c>
      <c r="D102" s="27" t="str">
        <f>IF('2 - Vendor Questionnaire'!D82="","No comments provided",'2 - Vendor Questionnaire'!D80)</f>
        <v>No comments provided</v>
      </c>
    </row>
    <row r="103" spans="1:4" ht="26">
      <c r="A103" s="81">
        <v>8.1999999999999993</v>
      </c>
      <c r="B103" s="45" t="str">
        <f>'2 - Vendor Questionnaire'!B83</f>
        <v>Is multi-factor authentication required for privileged accounts and administrative access?</v>
      </c>
      <c r="C103" s="58" t="s">
        <v>28</v>
      </c>
      <c r="D103" s="27" t="str">
        <f>IF('2 - Vendor Questionnaire'!D83="","No comments provided",'2 - Vendor Questionnaire'!D81)</f>
        <v>No comments provided</v>
      </c>
    </row>
    <row r="104" spans="1:4" ht="26">
      <c r="A104" s="81">
        <v>8.3000000000000007</v>
      </c>
      <c r="B104" s="45" t="str">
        <f>'2 - Vendor Questionnaire'!B84</f>
        <v>Does the solution enforce the principle of least privilege and minimum necessary access to PHI?</v>
      </c>
      <c r="C104" s="58" t="s">
        <v>4</v>
      </c>
      <c r="D104" s="27" t="str">
        <f>IF('2 - Vendor Questionnaire'!D84="","No comments provided",'2 - Vendor Questionnaire'!D82)</f>
        <v>No comments provided</v>
      </c>
    </row>
    <row r="105" spans="1:4" ht="26">
      <c r="A105" s="81">
        <v>8.4</v>
      </c>
      <c r="B105" s="45" t="str">
        <f>'2 - Vendor Questionnaire'!B85</f>
        <v>[IF YES] Can access to PHI be restricted through role-based access controls and least-privilege principles?</v>
      </c>
      <c r="C105" s="58" t="s">
        <v>4</v>
      </c>
      <c r="D105" s="27" t="str">
        <f>IF('2 - Vendor Questionnaire'!D85="","No comments provided",'2 - Vendor Questionnaire'!D83)</f>
        <v>No comments provided</v>
      </c>
    </row>
    <row r="106" spans="1:4" ht="13">
      <c r="A106" s="81">
        <v>8.5</v>
      </c>
      <c r="B106" s="45" t="str">
        <f>'2 - Vendor Questionnaire'!B86</f>
        <v>Are workforce and privileged user access rights reviewed periodically?</v>
      </c>
      <c r="C106" s="58" t="s">
        <v>4</v>
      </c>
      <c r="D106" s="27" t="str">
        <f>IF('2 - Vendor Questionnaire'!D86="","No comments provided",'2 - Vendor Questionnaire'!D84)</f>
        <v>No comments provided</v>
      </c>
    </row>
    <row r="107" spans="1:4">
      <c r="A107" s="32"/>
      <c r="B107" s="32"/>
      <c r="C107" s="32"/>
      <c r="D107" s="32"/>
    </row>
    <row r="108" spans="1:4">
      <c r="A108" s="32"/>
      <c r="B108" s="32"/>
      <c r="C108" s="32"/>
      <c r="D108" s="32"/>
    </row>
    <row r="109" spans="1:4" ht="15" customHeight="1"/>
    <row r="111" spans="1:4" ht="25" customHeight="1"/>
    <row r="119" ht="18" customHeight="1"/>
    <row r="120" ht="15" customHeight="1"/>
    <row r="121" ht="71.5" customHeight="1"/>
    <row r="122" ht="71.5" customHeight="1"/>
    <row r="123" ht="71.5" customHeight="1"/>
    <row r="124" ht="71.5" customHeight="1"/>
    <row r="125" ht="71.5" customHeight="1"/>
  </sheetData>
  <autoFilter ref="A23:D108" xr:uid="{00000000-0009-0000-0000-000003000000}"/>
  <mergeCells count="21">
    <mergeCell ref="B101:D101"/>
    <mergeCell ref="B93:D93"/>
    <mergeCell ref="B89:D89"/>
    <mergeCell ref="B97:D97"/>
    <mergeCell ref="B37:D37"/>
    <mergeCell ref="B43:D43"/>
    <mergeCell ref="B57:D57"/>
    <mergeCell ref="B39:D39"/>
    <mergeCell ref="B69:D69"/>
    <mergeCell ref="A1:D1"/>
    <mergeCell ref="A9:D9"/>
    <mergeCell ref="A6:D6"/>
    <mergeCell ref="A24:D24"/>
    <mergeCell ref="A38:D38"/>
    <mergeCell ref="B23:D23"/>
    <mergeCell ref="B11:D11"/>
    <mergeCell ref="A8:D8"/>
    <mergeCell ref="A7:D7"/>
    <mergeCell ref="C3:D3"/>
    <mergeCell ref="C4:D4"/>
    <mergeCell ref="C5:D5"/>
  </mergeCells>
  <conditionalFormatting sqref="A97">
    <cfRule type="containsText" dxfId="24" priority="6" operator="containsText" text="EXCLUDED">
      <formula>NOT(ISERROR(SEARCH("EXCLUDED",A97)))</formula>
    </cfRule>
  </conditionalFormatting>
  <conditionalFormatting sqref="B3:B5">
    <cfRule type="containsText" dxfId="23" priority="1" operator="containsText" text="EXCLUDED">
      <formula>NOT(ISERROR(SEARCH("EXCLUDED",B3)))</formula>
    </cfRule>
  </conditionalFormatting>
  <conditionalFormatting sqref="B6:B7 B51:B68 A93">
    <cfRule type="containsText" dxfId="22" priority="8" operator="containsText" text="EXCLUDED">
      <formula>NOT(ISERROR(SEARCH("EXCLUDED",A6)))</formula>
    </cfRule>
  </conditionalFormatting>
  <conditionalFormatting sqref="B9:B10 B24:B36 B38:B45 B47:B49 A69:B69 B70:B88 B109:B1048576">
    <cfRule type="containsText" dxfId="21" priority="11" operator="containsText" text="EXCLUDED">
      <formula>NOT(ISERROR(SEARCH("EXCLUDED",A9)))</formula>
    </cfRule>
  </conditionalFormatting>
  <conditionalFormatting sqref="B12:B22 A89">
    <cfRule type="containsText" dxfId="20" priority="10" operator="containsText" text="EXCLUDED">
      <formula>NOT(ISERROR(SEARCH("EXCLUDED",A12)))</formula>
    </cfRule>
  </conditionalFormatting>
  <conditionalFormatting sqref="B90:B106">
    <cfRule type="containsText" dxfId="19" priority="4" operator="containsText" text="EXCLUDED">
      <formula>NOT(ISERROR(SEARCH("EXCLUDED",B90)))</formula>
    </cfRule>
  </conditionalFormatting>
  <conditionalFormatting sqref="B101">
    <cfRule type="containsText" dxfId="18" priority="5" operator="containsText" text="EXCLUDED">
      <formula>NOT(ISERROR(SEARCH("EXCLUDED",B101)))</formula>
    </cfRule>
  </conditionalFormatting>
  <dataValidations count="2">
    <dataValidation type="list" allowBlank="1" showInputMessage="1" showErrorMessage="1" sqref="C101" xr:uid="{93386C86-CE4E-B24C-B314-1AA7FBFCD8C4}">
      <formula1>"Select one…,Yes, No, Undetermined, N/A"</formula1>
    </dataValidation>
    <dataValidation type="list" allowBlank="1" showInputMessage="1" showErrorMessage="1" sqref="C102:C106" xr:uid="{B4DF0FD5-D05E-0145-B040-B70730C30295}">
      <formula1>"Select one…,Yes, No, Partial (Explain), N/A"</formula1>
    </dataValidation>
  </dataValidations>
  <pageMargins left="0.7" right="0.56000000000000005" top="0.75" bottom="0.75" header="0.3" footer="0.3"/>
  <pageSetup scale="54" fitToHeight="100" orientation="portrait"/>
  <headerFooter>
    <oddHeader>&amp;C//Confidential//</oddHeader>
    <oddFooter>&amp;Cv2023.11.21&amp;RPage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3329D-DE00-CF4D-A7D5-E1F68D0AE564}">
  <sheetPr>
    <tabColor rgb="FFE0E0FA"/>
  </sheetPr>
  <dimension ref="A2:M111"/>
  <sheetViews>
    <sheetView workbookViewId="0">
      <selection activeCell="H23" sqref="H23"/>
    </sheetView>
  </sheetViews>
  <sheetFormatPr baseColWidth="10" defaultRowHeight="15"/>
  <cols>
    <col min="8" max="8" width="12.5" customWidth="1"/>
    <col min="10" max="10" width="20.1640625" bestFit="1" customWidth="1"/>
    <col min="13" max="13" width="11.5" customWidth="1"/>
  </cols>
  <sheetData>
    <row r="2" spans="1:9" ht="18">
      <c r="A2" s="208" t="s">
        <v>260</v>
      </c>
      <c r="B2" s="209"/>
      <c r="C2" s="209"/>
      <c r="D2" s="209"/>
      <c r="E2" s="209"/>
      <c r="F2" s="209"/>
      <c r="G2" s="209"/>
      <c r="H2" s="209"/>
      <c r="I2" s="209"/>
    </row>
    <row r="3" spans="1:9">
      <c r="A3" s="210" t="s">
        <v>261</v>
      </c>
      <c r="B3" s="211"/>
      <c r="C3" s="211"/>
      <c r="D3" s="211"/>
      <c r="E3" s="211"/>
      <c r="F3" s="211"/>
      <c r="G3" s="211"/>
      <c r="H3" s="211"/>
      <c r="I3" s="211"/>
    </row>
    <row r="4" spans="1:9">
      <c r="A4" s="210"/>
      <c r="B4" s="211"/>
      <c r="C4" s="211"/>
      <c r="D4" s="211"/>
      <c r="E4" s="211"/>
      <c r="F4" s="211"/>
      <c r="G4" s="211"/>
      <c r="H4" s="211"/>
      <c r="I4" s="211"/>
    </row>
    <row r="5" spans="1:9" ht="19">
      <c r="A5" s="212" t="s">
        <v>262</v>
      </c>
      <c r="B5" s="213"/>
      <c r="C5" s="213"/>
      <c r="D5" s="213"/>
      <c r="E5" s="213"/>
      <c r="F5" s="213"/>
      <c r="G5" s="213"/>
      <c r="H5" s="213"/>
      <c r="I5" s="213"/>
    </row>
    <row r="6" spans="1:9">
      <c r="A6" s="210" t="s">
        <v>263</v>
      </c>
      <c r="B6" s="214"/>
      <c r="C6" s="215"/>
      <c r="D6" s="215"/>
      <c r="E6" s="215"/>
      <c r="F6" s="215"/>
      <c r="G6" s="215"/>
      <c r="H6" s="215"/>
      <c r="I6" s="215"/>
    </row>
    <row r="7" spans="1:9">
      <c r="A7" s="210" t="s">
        <v>264</v>
      </c>
      <c r="B7" s="214"/>
      <c r="C7" s="215"/>
      <c r="D7" s="215"/>
      <c r="E7" s="215"/>
      <c r="F7" s="215"/>
      <c r="G7" s="215"/>
      <c r="H7" s="215"/>
      <c r="I7" s="215"/>
    </row>
    <row r="8" spans="1:9">
      <c r="A8" s="210" t="s">
        <v>265</v>
      </c>
      <c r="B8" s="214"/>
      <c r="C8" s="215"/>
      <c r="D8" s="215"/>
      <c r="E8" s="215"/>
      <c r="F8" s="215"/>
      <c r="G8" s="215"/>
      <c r="H8" s="215"/>
      <c r="I8" s="215"/>
    </row>
    <row r="9" spans="1:9">
      <c r="A9" s="210" t="s">
        <v>266</v>
      </c>
      <c r="B9" s="214"/>
      <c r="C9" s="215"/>
      <c r="D9" s="215"/>
      <c r="E9" s="215"/>
      <c r="F9" s="215"/>
      <c r="G9" s="215"/>
      <c r="H9" s="215"/>
      <c r="I9" s="215"/>
    </row>
    <row r="10" spans="1:9">
      <c r="A10" s="214" t="s">
        <v>267</v>
      </c>
      <c r="B10" s="214"/>
      <c r="C10" s="215"/>
      <c r="D10" s="215"/>
      <c r="E10" s="215"/>
      <c r="F10" s="215"/>
      <c r="G10" s="215"/>
      <c r="H10" s="215"/>
      <c r="I10" s="215"/>
    </row>
    <row r="11" spans="1:9">
      <c r="A11" s="214"/>
      <c r="B11" s="214"/>
      <c r="C11" s="215"/>
      <c r="D11" s="215"/>
      <c r="E11" s="215"/>
      <c r="F11" s="215"/>
      <c r="G11" s="215"/>
      <c r="H11" s="215"/>
      <c r="I11" s="215"/>
    </row>
    <row r="12" spans="1:9">
      <c r="A12" s="216" t="s">
        <v>268</v>
      </c>
      <c r="B12" s="216"/>
      <c r="C12" s="216"/>
      <c r="D12" s="216"/>
      <c r="E12" s="216"/>
      <c r="F12" s="216"/>
      <c r="G12" s="216"/>
      <c r="H12" s="216"/>
      <c r="I12" s="216"/>
    </row>
    <row r="13" spans="1:9">
      <c r="A13" s="217" t="s">
        <v>269</v>
      </c>
      <c r="B13" s="217"/>
      <c r="C13" s="217"/>
      <c r="D13" s="217"/>
      <c r="E13" s="217"/>
      <c r="F13" s="217"/>
      <c r="G13" s="217"/>
      <c r="H13" s="217"/>
      <c r="I13" s="217"/>
    </row>
    <row r="14" spans="1:9">
      <c r="A14" s="217"/>
      <c r="B14" s="217"/>
      <c r="C14" s="217"/>
      <c r="D14" s="217"/>
      <c r="E14" s="217"/>
      <c r="F14" s="217"/>
      <c r="G14" s="217"/>
      <c r="H14" s="217"/>
      <c r="I14" s="217"/>
    </row>
    <row r="16" spans="1:9" ht="32">
      <c r="A16" s="64" t="s">
        <v>169</v>
      </c>
      <c r="B16" s="65" t="s">
        <v>2</v>
      </c>
      <c r="C16" s="65" t="s">
        <v>170</v>
      </c>
      <c r="D16" s="65" t="s">
        <v>171</v>
      </c>
    </row>
    <row r="17" spans="1:13" ht="18" customHeight="1">
      <c r="A17" s="66"/>
      <c r="B17" s="202" t="s">
        <v>172</v>
      </c>
      <c r="C17" s="160"/>
      <c r="D17" s="151"/>
      <c r="G17" s="69"/>
    </row>
    <row r="18" spans="1:13">
      <c r="A18" s="67">
        <v>1</v>
      </c>
      <c r="B18" s="67">
        <f>IF('1 - Stakeholder Questionnaire'!C9="Yes",1,IF('1 - Stakeholder Questionnaire'!C9="No",0,IF('1 - Stakeholder Questionnaire'!C9="Partial (Explain)",0.5,"")))</f>
        <v>1</v>
      </c>
      <c r="C18" s="67">
        <f>IF(B18&lt;&gt;"",1,"")</f>
        <v>1</v>
      </c>
      <c r="D18" s="190">
        <f>(B28/C28)</f>
        <v>1</v>
      </c>
      <c r="G18" s="68"/>
    </row>
    <row r="19" spans="1:13">
      <c r="A19" s="67">
        <v>2</v>
      </c>
      <c r="B19" s="67">
        <f>IF('1 - Stakeholder Questionnaire'!C10="Yes",1,IF('1 - Stakeholder Questionnaire'!C10="No",0,IF('1 - Stakeholder Questionnaire'!C10="Partial (Explain)",0.5,"")))</f>
        <v>1</v>
      </c>
      <c r="C19" s="67">
        <f t="shared" ref="C19:C27" si="0">IF(B19&lt;&gt;"",1,"")</f>
        <v>1</v>
      </c>
      <c r="D19" s="191"/>
      <c r="G19" s="68"/>
    </row>
    <row r="20" spans="1:13">
      <c r="A20" s="67">
        <v>3</v>
      </c>
      <c r="B20" s="67" t="str">
        <f>IF('1 - Stakeholder Questionnaire'!C11="Yes",1,IF('1 - Stakeholder Questionnaire'!C11="No",0,IF('1 - Stakeholder Questionnaire'!C11="Partial (Explain)",0.5,"")))</f>
        <v/>
      </c>
      <c r="C20" s="67" t="str">
        <f t="shared" si="0"/>
        <v/>
      </c>
      <c r="D20" s="191"/>
      <c r="G20" s="69"/>
    </row>
    <row r="21" spans="1:13">
      <c r="A21" s="67">
        <v>4</v>
      </c>
      <c r="B21" s="67" t="str">
        <f>IF('1 - Stakeholder Questionnaire'!C12="Yes",1,IF('1 - Stakeholder Questionnaire'!C12="No",0,IF('1 - Stakeholder Questionnaire'!C12="Partial (Explain)",0.5,"")))</f>
        <v/>
      </c>
      <c r="C21" s="67" t="str">
        <f t="shared" si="0"/>
        <v/>
      </c>
      <c r="D21" s="191"/>
      <c r="G21" s="70"/>
    </row>
    <row r="22" spans="1:13">
      <c r="A22" s="67">
        <v>5</v>
      </c>
      <c r="B22" s="67" t="str">
        <f>IF('1 - Stakeholder Questionnaire'!C13="Yes",1,IF('1 - Stakeholder Questionnaire'!C13="No",0,IF('1 - Stakeholder Questionnaire'!C13="Partial (Explain)",0.5,"")))</f>
        <v/>
      </c>
      <c r="C22" s="67" t="str">
        <f t="shared" si="0"/>
        <v/>
      </c>
      <c r="D22" s="191"/>
    </row>
    <row r="23" spans="1:13">
      <c r="A23" s="67">
        <v>6</v>
      </c>
      <c r="B23" s="67" t="str">
        <f>IF('1 - Stakeholder Questionnaire'!C14="Yes",1,IF('1 - Stakeholder Questionnaire'!C14="No",0,IF('1 - Stakeholder Questionnaire'!C14="Partial (Explain)",0.5,"")))</f>
        <v/>
      </c>
      <c r="C23" s="67" t="str">
        <f t="shared" si="0"/>
        <v/>
      </c>
      <c r="D23" s="191"/>
    </row>
    <row r="24" spans="1:13">
      <c r="A24" s="67">
        <v>7</v>
      </c>
      <c r="B24" s="67" t="str">
        <f>IF('1 - Stakeholder Questionnaire'!C15="Yes",1,IF('1 - Stakeholder Questionnaire'!C15="No",0,IF('1 - Stakeholder Questionnaire'!C15="Partial (Explain)",0.5,"")))</f>
        <v/>
      </c>
      <c r="C24" s="67" t="str">
        <f t="shared" si="0"/>
        <v/>
      </c>
      <c r="D24" s="191"/>
    </row>
    <row r="25" spans="1:13">
      <c r="A25" s="67">
        <v>8</v>
      </c>
      <c r="B25" s="67" t="str">
        <f>IF('1 - Stakeholder Questionnaire'!C16="Yes",1,IF('1 - Stakeholder Questionnaire'!C16="No",0,IF('1 - Stakeholder Questionnaire'!C16="Partial (Explain)",0.5,"")))</f>
        <v/>
      </c>
      <c r="C25" s="67" t="str">
        <f t="shared" si="0"/>
        <v/>
      </c>
      <c r="D25" s="191"/>
    </row>
    <row r="26" spans="1:13" ht="18" customHeight="1">
      <c r="A26" s="67">
        <v>9</v>
      </c>
      <c r="B26" s="67" t="str">
        <f>IF('1 - Stakeholder Questionnaire'!C17="Yes",1,IF('1 - Stakeholder Questionnaire'!C17="No",0,IF('1 - Stakeholder Questionnaire'!C17="Partial (Explain)",0.5,"")))</f>
        <v/>
      </c>
      <c r="C26" s="67" t="str">
        <f t="shared" si="0"/>
        <v/>
      </c>
      <c r="D26" s="191"/>
      <c r="G26" s="169" t="s">
        <v>254</v>
      </c>
      <c r="H26" s="170"/>
      <c r="I26" s="170"/>
      <c r="J26" s="171"/>
    </row>
    <row r="27" spans="1:13" ht="18" customHeight="1">
      <c r="A27" s="67">
        <v>10</v>
      </c>
      <c r="B27" s="67" t="str">
        <f>IF('1 - Stakeholder Questionnaire'!C18="Yes",1,IF('1 - Stakeholder Questionnaire'!C18="No",0,IF('1 - Stakeholder Questionnaire'!C18="Partial (Explain)",0.5,"")))</f>
        <v/>
      </c>
      <c r="C27" s="67" t="str">
        <f t="shared" si="0"/>
        <v/>
      </c>
      <c r="D27" s="191"/>
      <c r="G27" s="199"/>
      <c r="H27" s="200"/>
      <c r="I27" s="200"/>
      <c r="J27" s="201"/>
      <c r="M27" s="71" t="s">
        <v>173</v>
      </c>
    </row>
    <row r="28" spans="1:13">
      <c r="A28" s="72" t="s">
        <v>170</v>
      </c>
      <c r="B28" s="73">
        <f>SUM(B18:B27)</f>
        <v>2</v>
      </c>
      <c r="C28" s="74">
        <f>SUM(C18:C27)</f>
        <v>2</v>
      </c>
      <c r="D28" s="192"/>
      <c r="G28" s="198">
        <f>AVERAGE(D18,D32,D37,D53,D66)</f>
        <v>0.75</v>
      </c>
      <c r="H28" s="198"/>
      <c r="I28" s="198"/>
      <c r="J28" s="198"/>
      <c r="M28" s="102" t="s">
        <v>214</v>
      </c>
    </row>
    <row r="29" spans="1:13">
      <c r="G29" s="198"/>
      <c r="H29" s="198"/>
      <c r="I29" s="198"/>
      <c r="J29" s="198"/>
      <c r="M29" s="100" t="s">
        <v>174</v>
      </c>
    </row>
    <row r="30" spans="1:13" ht="18">
      <c r="A30" s="66"/>
      <c r="B30" s="202" t="s">
        <v>175</v>
      </c>
      <c r="C30" s="160"/>
      <c r="D30" s="151"/>
      <c r="G30" s="198"/>
      <c r="H30" s="198"/>
      <c r="I30" s="198"/>
      <c r="J30" s="198"/>
      <c r="M30" s="101" t="s">
        <v>116</v>
      </c>
    </row>
    <row r="31" spans="1:13" ht="16" customHeight="1">
      <c r="A31" s="76">
        <v>1</v>
      </c>
      <c r="B31" s="128" t="s">
        <v>6</v>
      </c>
      <c r="C31" s="128"/>
      <c r="D31" s="128"/>
      <c r="G31" s="198"/>
      <c r="H31" s="198"/>
      <c r="I31" s="198"/>
      <c r="J31" s="198"/>
      <c r="M31" s="75" t="s">
        <v>176</v>
      </c>
    </row>
    <row r="32" spans="1:13">
      <c r="A32" s="77">
        <v>1.1000000000000001</v>
      </c>
      <c r="B32" s="67">
        <f>IF('2 - Vendor Questionnaire'!C10="Yes",1,IF('2 - Vendor Questionnaire'!C10="No",0,IF('2 - Vendor Questionnaire'!C10="Partial (Explain)",0.5,"")))</f>
        <v>1</v>
      </c>
      <c r="C32" s="67">
        <f>IF(B32&lt;&gt;"",1,"")</f>
        <v>1</v>
      </c>
      <c r="D32" s="190">
        <f>(B35/C35)</f>
        <v>0.5</v>
      </c>
      <c r="G32" s="198"/>
      <c r="H32" s="198"/>
      <c r="I32" s="198"/>
      <c r="J32" s="198"/>
    </row>
    <row r="33" spans="1:11">
      <c r="A33" s="9">
        <v>1.2</v>
      </c>
      <c r="B33" s="67">
        <f>IF('2 - Vendor Questionnaire'!C11="Yes",1,IF('2 - Vendor Questionnaire'!C11="No",0,IF('2 - Vendor Questionnaire'!C11="Partial (Explain)",0.5,"")))</f>
        <v>0</v>
      </c>
      <c r="C33" s="67">
        <f t="shared" ref="C33" si="1">IF(B33&lt;&gt;"",1,"")</f>
        <v>1</v>
      </c>
      <c r="D33" s="191"/>
      <c r="G33" s="198"/>
      <c r="H33" s="198"/>
      <c r="I33" s="198"/>
      <c r="J33" s="198"/>
    </row>
    <row r="34" spans="1:11">
      <c r="A34" s="9">
        <v>1.3</v>
      </c>
      <c r="B34" s="67" t="str">
        <f>IF('2 - Vendor Questionnaire'!C12="Yes",1,IF('2 - Vendor Questionnaire'!C12="No",0,IF('2 - Vendor Questionnaire'!C12="Partial (Explain)",0.5,"")))</f>
        <v/>
      </c>
      <c r="C34" s="67" t="str">
        <f>IF(B34&lt;&gt;"",1,"")</f>
        <v/>
      </c>
      <c r="D34" s="191"/>
      <c r="G34" s="198"/>
      <c r="H34" s="198"/>
      <c r="I34" s="198"/>
      <c r="J34" s="198"/>
    </row>
    <row r="35" spans="1:11">
      <c r="A35" s="72" t="s">
        <v>170</v>
      </c>
      <c r="B35" s="73">
        <f>SUM(B32:B34)</f>
        <v>1</v>
      </c>
      <c r="C35" s="74">
        <f>SUM(C32:C34)</f>
        <v>2</v>
      </c>
      <c r="D35" s="192"/>
    </row>
    <row r="36" spans="1:11" ht="16" customHeight="1">
      <c r="A36" s="76">
        <v>2</v>
      </c>
      <c r="B36" s="136" t="s">
        <v>7</v>
      </c>
      <c r="C36" s="136"/>
      <c r="D36" s="136"/>
    </row>
    <row r="37" spans="1:11">
      <c r="A37" s="77">
        <v>2.1</v>
      </c>
      <c r="B37" s="67">
        <f>IF('2 - Vendor Questionnaire'!C14="Yes",1,IF('2 - Vendor Questionnaire'!C14="No",0,IF('2 - Vendor Questionnaire'!C14="Partial (Explain)",0.5,"")))</f>
        <v>1</v>
      </c>
      <c r="C37" s="67">
        <f>IF(B37&lt;&gt;"",1,"")</f>
        <v>1</v>
      </c>
      <c r="D37" s="190">
        <f>B51/C51</f>
        <v>0.75</v>
      </c>
    </row>
    <row r="38" spans="1:11" ht="32" customHeight="1">
      <c r="A38" s="9">
        <v>2.2000000000000002</v>
      </c>
      <c r="B38" s="67">
        <f>IF('2 - Vendor Questionnaire'!C15="Yes",1,IF('2 - Vendor Questionnaire'!C15="No",0,IF('2 - Vendor Questionnaire'!C15="Partial (Explain)",0.5,"")))</f>
        <v>0.5</v>
      </c>
      <c r="C38" s="67">
        <f t="shared" ref="C38:C50" si="2">IF(B38&lt;&gt;"",1,"")</f>
        <v>1</v>
      </c>
      <c r="D38" s="191"/>
      <c r="G38" s="169" t="s">
        <v>196</v>
      </c>
      <c r="H38" s="170"/>
      <c r="I38" s="170"/>
      <c r="J38" s="171"/>
      <c r="K38" s="83"/>
    </row>
    <row r="39" spans="1:11" ht="18">
      <c r="A39" s="9">
        <v>2.2999999999999998</v>
      </c>
      <c r="B39" s="67" t="str">
        <f>IF('2 - Vendor Questionnaire'!C16="Yes",1,IF('2 - Vendor Questionnaire'!C16="No",0,IF('2 - Vendor Questionnaire'!C16="Partial (Explain)",0.5,"")))</f>
        <v/>
      </c>
      <c r="C39" s="67" t="str">
        <f t="shared" si="2"/>
        <v/>
      </c>
      <c r="D39" s="191"/>
      <c r="G39" s="195" t="s">
        <v>121</v>
      </c>
      <c r="H39" s="193"/>
      <c r="I39" s="193" t="s">
        <v>197</v>
      </c>
      <c r="J39" s="194"/>
      <c r="K39" s="97"/>
    </row>
    <row r="40" spans="1:11">
      <c r="A40" s="9">
        <v>2.4</v>
      </c>
      <c r="B40" s="67" t="str">
        <f>IF('2 - Vendor Questionnaire'!C17="Yes",1,IF('2 - Vendor Questionnaire'!C17="No",0,IF('2 - Vendor Questionnaire'!C17="Partial (Explain)",0.5,"")))</f>
        <v/>
      </c>
      <c r="C40" s="67" t="str">
        <f t="shared" si="2"/>
        <v/>
      </c>
      <c r="D40" s="191"/>
      <c r="G40" s="186" t="s">
        <v>255</v>
      </c>
      <c r="H40" s="186"/>
      <c r="I40" s="184">
        <f>SUM('Reference Score'!D2:D10)</f>
        <v>0.77500000000000013</v>
      </c>
      <c r="J40" s="185"/>
      <c r="K40" s="98"/>
    </row>
    <row r="41" spans="1:11">
      <c r="A41" s="9">
        <v>2.5</v>
      </c>
      <c r="B41" s="67" t="str">
        <f>IF('2 - Vendor Questionnaire'!C18="Yes",1,IF('2 - Vendor Questionnaire'!C18="No",0,IF('2 - Vendor Questionnaire'!C18="Partial (Explain)",0.5,"")))</f>
        <v/>
      </c>
      <c r="C41" s="67" t="str">
        <f t="shared" si="2"/>
        <v/>
      </c>
      <c r="D41" s="191"/>
      <c r="G41" s="186" t="s">
        <v>256</v>
      </c>
      <c r="H41" s="186"/>
      <c r="I41" s="187" t="str">
        <f>'Reference Score'!B19</f>
        <v>Medium Risk</v>
      </c>
      <c r="J41" s="188"/>
      <c r="K41" s="98"/>
    </row>
    <row r="42" spans="1:11">
      <c r="A42" s="9">
        <v>2.6</v>
      </c>
      <c r="B42" s="67" t="str">
        <f>IF('2 - Vendor Questionnaire'!C19="Yes",1,IF('2 - Vendor Questionnaire'!C19="No",0,IF('2 - Vendor Questionnaire'!C19="Partial (Explain)",0.5,"")))</f>
        <v/>
      </c>
      <c r="C42" s="67" t="str">
        <f t="shared" si="2"/>
        <v/>
      </c>
      <c r="D42" s="191"/>
      <c r="G42" s="186" t="s">
        <v>107</v>
      </c>
      <c r="H42" s="186"/>
      <c r="I42" s="189" t="str">
        <f>IF(I41="Low Risk","Approved",
IF(I41="Moderate Risk","Approved with Minor Conditions",
IF(I41="Medium Risk","Risk Review Required",
IF(I41="High Risk","Remediation Required",
"Rejected"))))</f>
        <v>Risk Review Required</v>
      </c>
      <c r="J42" s="189"/>
      <c r="K42" s="98"/>
    </row>
    <row r="43" spans="1:11" ht="15" customHeight="1">
      <c r="A43" s="9">
        <v>2.7</v>
      </c>
      <c r="B43" s="67" t="str">
        <f>IF('2 - Vendor Questionnaire'!C20="Yes",1,IF('2 - Vendor Questionnaire'!C20="No",0,IF('2 - Vendor Questionnaire'!C20="Partial (Explain)",0.5,"")))</f>
        <v/>
      </c>
      <c r="C43" s="67" t="str">
        <f t="shared" si="2"/>
        <v/>
      </c>
      <c r="D43" s="191"/>
      <c r="G43" s="178" t="s">
        <v>222</v>
      </c>
      <c r="H43" s="179"/>
      <c r="I43" s="172" t="str">
        <f>IF(I41="Low Risk","Vendor demonstrates strong security, privacy and compliance controls.",
IF(I41="Moderate Risk","Minor gaps identified. Remediation should be tracked during onboarding.",
IF(I41="Medium Risk","Several control deficiencies identified. Risk review recommended before approval.",
IF(I41="High Risk","Significant security and compliance gaps identified. Remediation required prior to approval.",
"Critical deficiencies identified. Vendor should not be approved until major issues are resolved."))))</f>
        <v>Several control deficiencies identified. Risk review recommended before approval.</v>
      </c>
      <c r="J43" s="173"/>
      <c r="K43" s="99"/>
    </row>
    <row r="44" spans="1:11">
      <c r="A44" s="9">
        <v>2.8</v>
      </c>
      <c r="B44" s="67" t="str">
        <f>IF('2 - Vendor Questionnaire'!C21="Yes",1,IF('2 - Vendor Questionnaire'!C21="No",0,IF('2 - Vendor Questionnaire'!C21="Partial (Explain)",0.5,"")))</f>
        <v/>
      </c>
      <c r="C44" s="67" t="str">
        <f t="shared" si="2"/>
        <v/>
      </c>
      <c r="D44" s="191"/>
      <c r="G44" s="180"/>
      <c r="H44" s="181"/>
      <c r="I44" s="174"/>
      <c r="J44" s="175"/>
      <c r="K44" s="99"/>
    </row>
    <row r="45" spans="1:11">
      <c r="A45" s="9">
        <v>2.9</v>
      </c>
      <c r="B45" s="67" t="str">
        <f>IF('2 - Vendor Questionnaire'!C22="Yes",1,IF('2 - Vendor Questionnaire'!C22="No",0,IF('2 - Vendor Questionnaire'!C22="Partial (Explain)",0.5,"")))</f>
        <v/>
      </c>
      <c r="C45" s="67" t="str">
        <f t="shared" si="2"/>
        <v/>
      </c>
      <c r="D45" s="191"/>
      <c r="G45" s="180"/>
      <c r="H45" s="181"/>
      <c r="I45" s="174"/>
      <c r="J45" s="175"/>
      <c r="K45" s="99"/>
    </row>
    <row r="46" spans="1:11">
      <c r="A46" s="15" t="s">
        <v>8</v>
      </c>
      <c r="B46" s="67" t="str">
        <f>IF('2 - Vendor Questionnaire'!C23="Yes",1,IF('2 - Vendor Questionnaire'!C23="No",0,IF('2 - Vendor Questionnaire'!C23="Partial (Explain)",0.5,"")))</f>
        <v/>
      </c>
      <c r="C46" s="67" t="str">
        <f t="shared" si="2"/>
        <v/>
      </c>
      <c r="D46" s="191"/>
      <c r="G46" s="182"/>
      <c r="H46" s="183"/>
      <c r="I46" s="176"/>
      <c r="J46" s="177"/>
      <c r="K46" s="99"/>
    </row>
    <row r="47" spans="1:11">
      <c r="A47" s="9">
        <v>2.11</v>
      </c>
      <c r="B47" s="67" t="str">
        <f>IF('2 - Vendor Questionnaire'!C24="Yes",1,IF('2 - Vendor Questionnaire'!C24="No",0,IF('2 - Vendor Questionnaire'!C24="Partial (Explain)",0.5,"")))</f>
        <v/>
      </c>
      <c r="C47" s="67" t="str">
        <f t="shared" si="2"/>
        <v/>
      </c>
      <c r="D47" s="191"/>
      <c r="I47" s="99"/>
      <c r="J47" s="99"/>
      <c r="K47" s="99"/>
    </row>
    <row r="48" spans="1:11">
      <c r="A48" s="9">
        <v>2.12</v>
      </c>
      <c r="B48" s="67" t="str">
        <f>IF('2 - Vendor Questionnaire'!C25="Yes",1,IF('2 - Vendor Questionnaire'!C25="No",0,IF('2 - Vendor Questionnaire'!C25="Partial (Explain)",0.5,"")))</f>
        <v/>
      </c>
      <c r="C48" s="67" t="str">
        <f t="shared" si="2"/>
        <v/>
      </c>
      <c r="D48" s="191"/>
      <c r="I48" s="99"/>
      <c r="J48" s="99"/>
      <c r="K48" s="99"/>
    </row>
    <row r="49" spans="1:4">
      <c r="A49" s="9">
        <v>2.13</v>
      </c>
      <c r="B49" s="67" t="str">
        <f>IF('2 - Vendor Questionnaire'!C26="Yes",1,IF('2 - Vendor Questionnaire'!C26="No",0,IF('2 - Vendor Questionnaire'!C26="Partial (Explain)",0.5,"")))</f>
        <v/>
      </c>
      <c r="C49" s="67" t="str">
        <f t="shared" si="2"/>
        <v/>
      </c>
      <c r="D49" s="191"/>
    </row>
    <row r="50" spans="1:4">
      <c r="A50" s="9">
        <v>2.14</v>
      </c>
      <c r="B50" s="67" t="str">
        <f>IF('2 - Vendor Questionnaire'!C27="Yes",1,IF('2 - Vendor Questionnaire'!C27="No",0,IF('2 - Vendor Questionnaire'!C27="Partial (Explain)",0.5,"")))</f>
        <v/>
      </c>
      <c r="C50" s="67" t="str">
        <f t="shared" si="2"/>
        <v/>
      </c>
      <c r="D50" s="191"/>
    </row>
    <row r="51" spans="1:4">
      <c r="A51" s="72" t="s">
        <v>170</v>
      </c>
      <c r="B51" s="73">
        <f>SUM(B37:B50)</f>
        <v>1.5</v>
      </c>
      <c r="C51" s="74">
        <f>SUM(C37:C50)</f>
        <v>2</v>
      </c>
      <c r="D51" s="192"/>
    </row>
    <row r="52" spans="1:4" ht="16">
      <c r="A52" s="76">
        <v>3</v>
      </c>
      <c r="B52" s="133" t="s">
        <v>10</v>
      </c>
      <c r="C52" s="134"/>
      <c r="D52" s="197"/>
    </row>
    <row r="53" spans="1:4">
      <c r="A53" s="9">
        <v>3.1</v>
      </c>
      <c r="B53" s="67">
        <f>IF('2 - Vendor Questionnaire'!C28="Yes",1,IF('2 - Vendor Questionnaire'!C28="No",0,IF('2 - Vendor Questionnaire'!C28="Partial (Explain)",0.5,"")))</f>
        <v>1</v>
      </c>
      <c r="C53" s="67">
        <f>IF(B53&lt;&gt;"",1,"")</f>
        <v>1</v>
      </c>
      <c r="D53" s="190">
        <f>B64/C64</f>
        <v>1</v>
      </c>
    </row>
    <row r="54" spans="1:4">
      <c r="A54" s="9">
        <v>3.2</v>
      </c>
      <c r="B54" s="67">
        <f>IF('2 - Vendor Questionnaire'!C29="Yes",1,IF('2 - Vendor Questionnaire'!C29="No",0,IF('2 - Vendor Questionnaire'!C29="Partial (Explain)",0.5,"")))</f>
        <v>1</v>
      </c>
      <c r="C54" s="67">
        <f>IF(B54&lt;&gt;"",1,"")</f>
        <v>1</v>
      </c>
      <c r="D54" s="191"/>
    </row>
    <row r="55" spans="1:4">
      <c r="A55" s="9">
        <v>3.3</v>
      </c>
      <c r="B55" s="67" t="str">
        <f>IF('2 - Vendor Questionnaire'!C30="Yes",1,IF('2 - Vendor Questionnaire'!C30="No",0,IF('2 - Vendor Questionnaire'!C30="Partial (Explain)",0.5,"")))</f>
        <v/>
      </c>
      <c r="C55" s="67" t="str">
        <f t="shared" ref="C55:C63" si="3">IF(B55&lt;&gt;"",1,"")</f>
        <v/>
      </c>
      <c r="D55" s="191"/>
    </row>
    <row r="56" spans="1:4">
      <c r="A56" s="9">
        <v>3.4</v>
      </c>
      <c r="B56" s="67" t="str">
        <f>IF('2 - Vendor Questionnaire'!C31="Yes",1,IF('2 - Vendor Questionnaire'!C31="No",0,IF('2 - Vendor Questionnaire'!C31="Partial (Explain)",0.5,"")))</f>
        <v/>
      </c>
      <c r="C56" s="67" t="str">
        <f t="shared" si="3"/>
        <v/>
      </c>
      <c r="D56" s="191"/>
    </row>
    <row r="57" spans="1:4">
      <c r="A57" s="9">
        <v>3.5</v>
      </c>
      <c r="B57" s="67" t="str">
        <f>IF('2 - Vendor Questionnaire'!C32="Yes",1,IF('2 - Vendor Questionnaire'!C32="No",0,IF('2 - Vendor Questionnaire'!C32="Partial (Explain)",0.5,"")))</f>
        <v/>
      </c>
      <c r="C57" s="67" t="str">
        <f t="shared" si="3"/>
        <v/>
      </c>
      <c r="D57" s="191"/>
    </row>
    <row r="58" spans="1:4">
      <c r="A58" s="9">
        <v>3.6</v>
      </c>
      <c r="B58" s="67" t="str">
        <f>IF('2 - Vendor Questionnaire'!C33="Yes",1,IF('2 - Vendor Questionnaire'!C33="No",0,IF('2 - Vendor Questionnaire'!C33="Partial (Explain)",0.5,"")))</f>
        <v/>
      </c>
      <c r="C58" s="67" t="str">
        <f t="shared" si="3"/>
        <v/>
      </c>
      <c r="D58" s="191"/>
    </row>
    <row r="59" spans="1:4">
      <c r="A59" s="9">
        <v>3.7</v>
      </c>
      <c r="B59" s="67" t="str">
        <f>IF('2 - Vendor Questionnaire'!C34="Yes",1,IF('2 - Vendor Questionnaire'!C34="No",0,IF('2 - Vendor Questionnaire'!C34="Partial (Explain)",0.5,"")))</f>
        <v/>
      </c>
      <c r="C59" s="67" t="str">
        <f t="shared" si="3"/>
        <v/>
      </c>
      <c r="D59" s="191"/>
    </row>
    <row r="60" spans="1:4">
      <c r="A60" s="9">
        <v>3.8</v>
      </c>
      <c r="B60" s="67" t="str">
        <f>IF('2 - Vendor Questionnaire'!C35="Yes",1,IF('2 - Vendor Questionnaire'!C35="No",0,IF('2 - Vendor Questionnaire'!C35="Partial (Explain)",0.5,"")))</f>
        <v/>
      </c>
      <c r="C60" s="67" t="str">
        <f t="shared" si="3"/>
        <v/>
      </c>
      <c r="D60" s="191"/>
    </row>
    <row r="61" spans="1:4">
      <c r="A61" s="9">
        <v>3.9</v>
      </c>
      <c r="B61" s="67" t="str">
        <f>IF('2 - Vendor Questionnaire'!C36="Yes",1,IF('2 - Vendor Questionnaire'!C36="No",0,IF('2 - Vendor Questionnaire'!C36="Partial (Explain)",0.5,"")))</f>
        <v/>
      </c>
      <c r="C61" s="67" t="str">
        <f t="shared" si="3"/>
        <v/>
      </c>
      <c r="D61" s="191"/>
    </row>
    <row r="62" spans="1:4">
      <c r="A62" s="15" t="s">
        <v>13</v>
      </c>
      <c r="B62" s="67" t="str">
        <f>IF('2 - Vendor Questionnaire'!C38="Yes",1,IF('2 - Vendor Questionnaire'!C38="No",0,IF('2 - Vendor Questionnaire'!C38="Partial (Explain)",0.5,"")))</f>
        <v/>
      </c>
      <c r="C62" s="67" t="str">
        <f t="shared" si="3"/>
        <v/>
      </c>
      <c r="D62" s="191"/>
    </row>
    <row r="63" spans="1:4">
      <c r="A63" s="9">
        <v>3.11</v>
      </c>
      <c r="B63" s="67" t="str">
        <f>IF('2 - Vendor Questionnaire'!C39="Yes",1,IF('2 - Vendor Questionnaire'!C39="No",0,IF('2 - Vendor Questionnaire'!C39="Partial (Explain)",0.5,"")))</f>
        <v/>
      </c>
      <c r="C63" s="67" t="str">
        <f t="shared" si="3"/>
        <v/>
      </c>
      <c r="D63" s="191"/>
    </row>
    <row r="64" spans="1:4">
      <c r="A64" s="72" t="s">
        <v>170</v>
      </c>
      <c r="B64" s="73">
        <f>SUM(B53:B63)</f>
        <v>2</v>
      </c>
      <c r="C64" s="74">
        <f>SUM(C53:C63)</f>
        <v>2</v>
      </c>
      <c r="D64" s="192"/>
    </row>
    <row r="65" spans="1:4" ht="18">
      <c r="A65" s="76">
        <v>4</v>
      </c>
      <c r="B65" s="132" t="s">
        <v>192</v>
      </c>
      <c r="C65" s="132"/>
      <c r="D65" s="132"/>
    </row>
    <row r="66" spans="1:4">
      <c r="A66" s="9">
        <v>4.0999999999999996</v>
      </c>
      <c r="B66" s="67">
        <f>IF('2 - Vendor Questionnaire'!C41="Yes",1,IF('2 - Vendor Questionnaire'!C41="No",0,IF('2 - Vendor Questionnaire'!C41="Partial (Explain)",0.5,"")))</f>
        <v>1</v>
      </c>
      <c r="C66" s="67">
        <f t="shared" ref="C66:C83" si="4">IF(B66&lt;&gt;"",1,"")</f>
        <v>1</v>
      </c>
      <c r="D66" s="190">
        <f>B84/C84</f>
        <v>0.5</v>
      </c>
    </row>
    <row r="67" spans="1:4">
      <c r="A67" s="9">
        <v>4.2</v>
      </c>
      <c r="B67" s="67">
        <f>IF('2 - Vendor Questionnaire'!C42="Yes",1,IF('2 - Vendor Questionnaire'!C42="No",0,IF('2 - Vendor Questionnaire'!C42="Partial (Explain)",0.5,"")))</f>
        <v>0</v>
      </c>
      <c r="C67" s="67">
        <f t="shared" si="4"/>
        <v>1</v>
      </c>
      <c r="D67" s="191"/>
    </row>
    <row r="68" spans="1:4">
      <c r="A68" s="9">
        <v>4.3</v>
      </c>
      <c r="B68" s="67" t="str">
        <f>IF('2 - Vendor Questionnaire'!C43="Yes",1,IF('2 - Vendor Questionnaire'!C43="No",0,IF('2 - Vendor Questionnaire'!C43="Partial (Explain)",0.5,"")))</f>
        <v/>
      </c>
      <c r="C68" s="67" t="str">
        <f t="shared" si="4"/>
        <v/>
      </c>
      <c r="D68" s="191"/>
    </row>
    <row r="69" spans="1:4">
      <c r="A69" s="9">
        <v>4.4000000000000004</v>
      </c>
      <c r="B69" s="67" t="str">
        <f>IF('2 - Vendor Questionnaire'!C44="Yes",1,IF('2 - Vendor Questionnaire'!C44="No",0,IF('2 - Vendor Questionnaire'!C44="Partial (Explain)",0.5,"")))</f>
        <v/>
      </c>
      <c r="C69" s="67" t="str">
        <f t="shared" si="4"/>
        <v/>
      </c>
      <c r="D69" s="191"/>
    </row>
    <row r="70" spans="1:4">
      <c r="A70" s="9">
        <v>4.5</v>
      </c>
      <c r="B70" s="67" t="str">
        <f>IF('2 - Vendor Questionnaire'!C45="Yes",1,IF('2 - Vendor Questionnaire'!C45="No",0,IF('2 - Vendor Questionnaire'!C45="Partial (Explain)",0.5,"")))</f>
        <v/>
      </c>
      <c r="C70" s="67" t="str">
        <f>IF(B70&lt;&gt;"",1,"")</f>
        <v/>
      </c>
      <c r="D70" s="191"/>
    </row>
    <row r="71" spans="1:4">
      <c r="A71" s="9">
        <v>4.5999999999999996</v>
      </c>
      <c r="B71" s="67" t="str">
        <f>IF('2 - Vendor Questionnaire'!C46="Yes",1,IF('2 - Vendor Questionnaire'!C46="No",0,IF('2 - Vendor Questionnaire'!C46="Partial (Explain)",0.5,"")))</f>
        <v/>
      </c>
      <c r="C71" s="67" t="str">
        <f t="shared" si="4"/>
        <v/>
      </c>
      <c r="D71" s="191"/>
    </row>
    <row r="72" spans="1:4">
      <c r="A72" s="9">
        <v>4.7</v>
      </c>
      <c r="B72" s="67" t="str">
        <f>IF('2 - Vendor Questionnaire'!C47="Yes",1,IF('2 - Vendor Questionnaire'!C47="No",0,IF('2 - Vendor Questionnaire'!C47="Partial (Explain)",0.5,"")))</f>
        <v/>
      </c>
      <c r="C72" s="67" t="str">
        <f t="shared" si="4"/>
        <v/>
      </c>
      <c r="D72" s="191"/>
    </row>
    <row r="73" spans="1:4">
      <c r="A73" s="9">
        <v>4.8</v>
      </c>
      <c r="B73" s="67" t="str">
        <f>IF('2 - Vendor Questionnaire'!C48="Yes",1,IF('2 - Vendor Questionnaire'!C48="No",0,IF('2 - Vendor Questionnaire'!C48="Partial (Explain)",0.5,"")))</f>
        <v/>
      </c>
      <c r="C73" s="67" t="str">
        <f t="shared" si="4"/>
        <v/>
      </c>
      <c r="D73" s="191"/>
    </row>
    <row r="74" spans="1:4">
      <c r="A74" s="9">
        <v>4.9000000000000004</v>
      </c>
      <c r="B74" s="67" t="str">
        <f>IF('2 - Vendor Questionnaire'!C49="Yes",1,IF('2 - Vendor Questionnaire'!C49="No",0,IF('2 - Vendor Questionnaire'!C49="Partial (Explain)",0.5,"")))</f>
        <v/>
      </c>
      <c r="C74" s="67" t="str">
        <f t="shared" si="4"/>
        <v/>
      </c>
      <c r="D74" s="191"/>
    </row>
    <row r="75" spans="1:4">
      <c r="A75" s="15" t="s">
        <v>20</v>
      </c>
      <c r="B75" s="67" t="str">
        <f>IF('2 - Vendor Questionnaire'!C50="Yes",1,IF('2 - Vendor Questionnaire'!C50="No",0,IF('2 - Vendor Questionnaire'!C50="Partial (Explain)",0.5,"")))</f>
        <v/>
      </c>
      <c r="C75" s="67" t="str">
        <f t="shared" si="4"/>
        <v/>
      </c>
      <c r="D75" s="191"/>
    </row>
    <row r="76" spans="1:4">
      <c r="A76" s="9">
        <v>4.1100000000000003</v>
      </c>
      <c r="B76" s="67" t="str">
        <f>IF('2 - Vendor Questionnaire'!C51="Yes",1,IF('2 - Vendor Questionnaire'!C51="No",0,IF('2 - Vendor Questionnaire'!C51="Partial (Explain)",0.5,"")))</f>
        <v/>
      </c>
      <c r="C76" s="67" t="str">
        <f t="shared" si="4"/>
        <v/>
      </c>
      <c r="D76" s="191"/>
    </row>
    <row r="77" spans="1:4">
      <c r="A77" s="9">
        <v>4.12</v>
      </c>
      <c r="B77" s="67" t="str">
        <f>IF('2 - Vendor Questionnaire'!C52="Yes",1,IF('2 - Vendor Questionnaire'!C52="No",0,IF('2 - Vendor Questionnaire'!C52="Partial (Explain)",0.5,"")))</f>
        <v/>
      </c>
      <c r="C77" s="67" t="str">
        <f t="shared" si="4"/>
        <v/>
      </c>
      <c r="D77" s="191"/>
    </row>
    <row r="78" spans="1:4">
      <c r="A78" s="9">
        <v>4.13</v>
      </c>
      <c r="B78" s="67" t="str">
        <f>IF('2 - Vendor Questionnaire'!C53="Yes",1,IF('2 - Vendor Questionnaire'!C53="No",0,IF('2 - Vendor Questionnaire'!C53="Partial (Explain)",0.5,"")))</f>
        <v/>
      </c>
      <c r="C78" s="67" t="str">
        <f t="shared" si="4"/>
        <v/>
      </c>
      <c r="D78" s="191"/>
    </row>
    <row r="79" spans="1:4">
      <c r="A79" s="9">
        <v>4.1399999999999997</v>
      </c>
      <c r="B79" s="67" t="str">
        <f>IF('2 - Vendor Questionnaire'!C54="Yes",1,IF('2 - Vendor Questionnaire'!C54="No",0,IF('2 - Vendor Questionnaire'!C54="Partial (Explain)",0.5,"")))</f>
        <v/>
      </c>
      <c r="C79" s="67" t="str">
        <f t="shared" si="4"/>
        <v/>
      </c>
      <c r="D79" s="191"/>
    </row>
    <row r="80" spans="1:4">
      <c r="A80" s="9">
        <v>4.1500000000000004</v>
      </c>
      <c r="B80" s="67" t="str">
        <f>IF('2 - Vendor Questionnaire'!C55="Yes",1,IF('2 - Vendor Questionnaire'!C55="No",0,IF('2 - Vendor Questionnaire'!C55="Partial (Explain)",0.5,"")))</f>
        <v/>
      </c>
      <c r="C80" s="67" t="str">
        <f t="shared" si="4"/>
        <v/>
      </c>
      <c r="D80" s="191"/>
    </row>
    <row r="81" spans="1:4">
      <c r="A81" s="9">
        <v>4.16</v>
      </c>
      <c r="B81" s="67" t="str">
        <f>IF('2 - Vendor Questionnaire'!C56="Yes",1,IF('2 - Vendor Questionnaire'!C56="No",0,IF('2 - Vendor Questionnaire'!C56="Partial (Explain)",0.5,"")))</f>
        <v/>
      </c>
      <c r="C81" s="67" t="str">
        <f t="shared" si="4"/>
        <v/>
      </c>
      <c r="D81" s="191"/>
    </row>
    <row r="82" spans="1:4">
      <c r="A82" s="9">
        <v>4.17</v>
      </c>
      <c r="B82" s="67" t="str">
        <f>IF('2 - Vendor Questionnaire'!C57="Yes",1,IF('2 - Vendor Questionnaire'!C57="No",0,IF('2 - Vendor Questionnaire'!C57="Partial (Explain)",0.5,"")))</f>
        <v/>
      </c>
      <c r="C82" s="67" t="str">
        <f t="shared" si="4"/>
        <v/>
      </c>
      <c r="D82" s="191"/>
    </row>
    <row r="83" spans="1:4">
      <c r="A83" s="9">
        <v>4.18</v>
      </c>
      <c r="B83" s="67" t="str">
        <f>IF('2 - Vendor Questionnaire'!C58="Yes",1,IF('2 - Vendor Questionnaire'!C58="No",0,IF('2 - Vendor Questionnaire'!C58="Partial (Explain)",0.5,"")))</f>
        <v/>
      </c>
      <c r="C83" s="67" t="str">
        <f t="shared" si="4"/>
        <v/>
      </c>
      <c r="D83" s="191"/>
    </row>
    <row r="84" spans="1:4">
      <c r="A84" s="72" t="s">
        <v>170</v>
      </c>
      <c r="B84" s="78">
        <f>SUM(B66:B83)</f>
        <v>1</v>
      </c>
      <c r="C84" s="79">
        <f>SUM(C66:C83)</f>
        <v>2</v>
      </c>
      <c r="D84" s="192"/>
    </row>
    <row r="85" spans="1:4" ht="16" customHeight="1">
      <c r="A85" s="76">
        <v>5</v>
      </c>
      <c r="B85" s="196" t="s">
        <v>23</v>
      </c>
      <c r="C85" s="196"/>
      <c r="D85" s="196"/>
    </row>
    <row r="86" spans="1:4">
      <c r="A86" s="9">
        <v>5.0999999999999996</v>
      </c>
      <c r="B86" s="67">
        <f>IF('2 - Vendor Questionnaire'!C65="Yes",1,IF('2 - Vendor Questionnaire'!C65="No",0,IF('2 - Vendor Questionnaire'!C65="Partial (Explain)",0.5,"")))</f>
        <v>1</v>
      </c>
      <c r="C86" s="67">
        <f t="shared" ref="C86:C89" si="5">IF(B86&lt;&gt;"",1,"")</f>
        <v>1</v>
      </c>
      <c r="D86" s="190">
        <f>B90/C90</f>
        <v>1</v>
      </c>
    </row>
    <row r="87" spans="1:4">
      <c r="A87" s="9">
        <v>5.2</v>
      </c>
      <c r="B87" s="67">
        <f>IF('2 - Vendor Questionnaire'!C66="Yes",1,IF('2 - Vendor Questionnaire'!C66="No",0,IF('2 - Vendor Questionnaire'!C66="Partial (Explain)",0.5,"")))</f>
        <v>1</v>
      </c>
      <c r="C87" s="67">
        <f t="shared" si="5"/>
        <v>1</v>
      </c>
      <c r="D87" s="191"/>
    </row>
    <row r="88" spans="1:4">
      <c r="A88" s="9">
        <v>5.3</v>
      </c>
      <c r="B88" s="67" t="str">
        <f>IF('2 - Vendor Questionnaire'!C67="Yes",1,IF('2 - Vendor Questionnaire'!C67="No",0,IF('2 - Vendor Questionnaire'!C67="Partial (Explain)",0.5,"")))</f>
        <v/>
      </c>
      <c r="C88" s="67" t="str">
        <f t="shared" si="5"/>
        <v/>
      </c>
      <c r="D88" s="191"/>
    </row>
    <row r="89" spans="1:4">
      <c r="A89" s="9">
        <v>5.4</v>
      </c>
      <c r="B89" s="67" t="str">
        <f>IF('2 - Vendor Questionnaire'!C68="Yes",1,IF('2 - Vendor Questionnaire'!C68="No",0,IF('2 - Vendor Questionnaire'!C68="Partial (Explain)",0.5,"")))</f>
        <v/>
      </c>
      <c r="C89" s="67" t="str">
        <f t="shared" si="5"/>
        <v/>
      </c>
      <c r="D89" s="191"/>
    </row>
    <row r="90" spans="1:4">
      <c r="A90" s="72" t="s">
        <v>170</v>
      </c>
      <c r="B90" s="78">
        <f>SUM(B86:B89)</f>
        <v>2</v>
      </c>
      <c r="C90" s="79">
        <f>SUM(C86:C89)</f>
        <v>2</v>
      </c>
      <c r="D90" s="192"/>
    </row>
    <row r="91" spans="1:4" ht="16" customHeight="1">
      <c r="A91" s="76">
        <v>6</v>
      </c>
      <c r="B91" s="196" t="s">
        <v>165</v>
      </c>
      <c r="C91" s="196"/>
      <c r="D91" s="196"/>
    </row>
    <row r="92" spans="1:4">
      <c r="A92" s="9">
        <v>6.1</v>
      </c>
      <c r="B92" s="67">
        <f>IF('2 - Vendor Questionnaire'!C69="Yes",1,IF('2 - Vendor Questionnaire'!C69="No",0,IF('2 - Vendor Questionnaire'!C69="Partial (Explain)",0.5,"")))</f>
        <v>1</v>
      </c>
      <c r="C92" s="67">
        <f t="shared" ref="C92:C94" si="6">IF(B92&lt;&gt;"",1,"")</f>
        <v>1</v>
      </c>
      <c r="D92" s="190">
        <f>B95/C95</f>
        <v>0.75</v>
      </c>
    </row>
    <row r="93" spans="1:4">
      <c r="A93" s="9">
        <v>6.2</v>
      </c>
      <c r="B93" s="67">
        <f>IF('2 - Vendor Questionnaire'!C70="Yes",1,IF('2 - Vendor Questionnaire'!C70="No",0,IF('2 - Vendor Questionnaire'!C70="Partial (Explain)",0.5,"")))</f>
        <v>0.5</v>
      </c>
      <c r="C93" s="67">
        <f t="shared" si="6"/>
        <v>1</v>
      </c>
      <c r="D93" s="191"/>
    </row>
    <row r="94" spans="1:4">
      <c r="A94" s="9">
        <v>6.3</v>
      </c>
      <c r="B94" s="67" t="str">
        <f>IF('2 - Vendor Questionnaire'!C71="Yes",1,IF('2 - Vendor Questionnaire'!C71="No",0,IF('2 - Vendor Questionnaire'!C71="Partial (Explain)",0.5,"")))</f>
        <v/>
      </c>
      <c r="C94" s="67" t="str">
        <f t="shared" si="6"/>
        <v/>
      </c>
      <c r="D94" s="191"/>
    </row>
    <row r="95" spans="1:4">
      <c r="A95" s="72" t="s">
        <v>170</v>
      </c>
      <c r="B95" s="78">
        <f>SUM(B92:B94)</f>
        <v>1.5</v>
      </c>
      <c r="C95" s="79">
        <f>SUM(C92:C94)</f>
        <v>2</v>
      </c>
      <c r="D95" s="192"/>
    </row>
    <row r="96" spans="1:4" ht="16" customHeight="1">
      <c r="A96" s="76">
        <v>7</v>
      </c>
      <c r="B96" s="196" t="s">
        <v>26</v>
      </c>
      <c r="C96" s="196"/>
      <c r="D96" s="196"/>
    </row>
    <row r="97" spans="1:4">
      <c r="A97" s="9">
        <v>7.1</v>
      </c>
      <c r="B97" s="67">
        <f>IF('2 - Vendor Questionnaire'!C73="Yes",1,IF('2 - Vendor Questionnaire'!C73="No",0,IF('2 - Vendor Questionnaire'!C73="Partial (Explain)",0.5,"")))</f>
        <v>1</v>
      </c>
      <c r="C97" s="67">
        <f>IF(B97&lt;&gt;"",1,"")</f>
        <v>1</v>
      </c>
      <c r="D97" s="190">
        <f>(B104/C104)</f>
        <v>1</v>
      </c>
    </row>
    <row r="98" spans="1:4">
      <c r="A98" s="9">
        <v>7.2</v>
      </c>
      <c r="B98" s="67">
        <f>IF('2 - Vendor Questionnaire'!C74="Yes",1,IF('2 - Vendor Questionnaire'!C74="No",0,IF('2 - Vendor Questionnaire'!C74="Partial (Explain)",0.5,"")))</f>
        <v>1</v>
      </c>
      <c r="C98" s="67">
        <f t="shared" ref="C98:C103" si="7">IF(B98&lt;&gt;"",1,"")</f>
        <v>1</v>
      </c>
      <c r="D98" s="191"/>
    </row>
    <row r="99" spans="1:4">
      <c r="A99" s="9">
        <v>7.3</v>
      </c>
      <c r="B99" s="67" t="str">
        <f>IF('2 - Vendor Questionnaire'!C75="Yes",1,IF('2 - Vendor Questionnaire'!C75="No",0,IF('2 - Vendor Questionnaire'!C75="Partial (Explain)",0.5,"")))</f>
        <v/>
      </c>
      <c r="C99" s="67" t="str">
        <f t="shared" si="7"/>
        <v/>
      </c>
      <c r="D99" s="191"/>
    </row>
    <row r="100" spans="1:4">
      <c r="A100" s="9">
        <v>7.4</v>
      </c>
      <c r="B100" s="67" t="str">
        <f>IF('2 - Vendor Questionnaire'!C76="Yes",1,IF('2 - Vendor Questionnaire'!C76="No",0,IF('2 - Vendor Questionnaire'!C76="Partial (Explain)",0.5,"")))</f>
        <v/>
      </c>
      <c r="C100" s="67" t="str">
        <f t="shared" si="7"/>
        <v/>
      </c>
      <c r="D100" s="191"/>
    </row>
    <row r="101" spans="1:4">
      <c r="A101" s="9">
        <v>7.5</v>
      </c>
      <c r="B101" s="67" t="str">
        <f>IF('2 - Vendor Questionnaire'!C77="Yes",1,IF('2 - Vendor Questionnaire'!C77="No",0,IF('2 - Vendor Questionnaire'!C77="Partial (Explain)",0.5,"")))</f>
        <v/>
      </c>
      <c r="C101" s="67" t="str">
        <f t="shared" si="7"/>
        <v/>
      </c>
      <c r="D101" s="191"/>
    </row>
    <row r="102" spans="1:4">
      <c r="A102" s="9">
        <v>7.6</v>
      </c>
      <c r="B102" s="67" t="str">
        <f>IF('2 - Vendor Questionnaire'!C78="Yes",1,IF('2 - Vendor Questionnaire'!C78="No",0,IF('2 - Vendor Questionnaire'!C78="Partial (Explain)",0.5,"")))</f>
        <v/>
      </c>
      <c r="C102" s="67" t="str">
        <f t="shared" si="7"/>
        <v/>
      </c>
      <c r="D102" s="191"/>
    </row>
    <row r="103" spans="1:4">
      <c r="A103" s="9">
        <v>7.8</v>
      </c>
      <c r="B103" s="67" t="str">
        <f>IF('2 - Vendor Questionnaire'!C79="Yes",1,IF('2 - Vendor Questionnaire'!C79="No",0,IF('2 - Vendor Questionnaire'!C79="Partial (Explain)",0.5,"")))</f>
        <v/>
      </c>
      <c r="C103" s="67" t="str">
        <f t="shared" si="7"/>
        <v/>
      </c>
      <c r="D103" s="191"/>
    </row>
    <row r="104" spans="1:4">
      <c r="A104" s="72" t="s">
        <v>170</v>
      </c>
      <c r="B104" s="78">
        <f>SUM(B97:B103)</f>
        <v>2</v>
      </c>
      <c r="C104" s="79">
        <f>SUM(C97:C103)</f>
        <v>2</v>
      </c>
      <c r="D104" s="192"/>
    </row>
    <row r="105" spans="1:4" ht="16">
      <c r="A105" s="76">
        <v>8</v>
      </c>
      <c r="B105" s="125" t="s">
        <v>193</v>
      </c>
      <c r="C105" s="126"/>
      <c r="D105" s="127"/>
    </row>
    <row r="106" spans="1:4">
      <c r="A106" s="9">
        <v>8.1</v>
      </c>
      <c r="B106" s="67">
        <f>IF('2 - Vendor Questionnaire'!C82="Yes",1,IF('2 - Vendor Questionnaire'!C82="No",0,IF('2 - Vendor Questionnaire'!C82="Partial (Explain)",0.5,"")))</f>
        <v>1</v>
      </c>
      <c r="C106" s="67">
        <f>IF(B106&lt;&gt;"",1,"")</f>
        <v>1</v>
      </c>
      <c r="D106" s="190">
        <f>B111/C111</f>
        <v>1</v>
      </c>
    </row>
    <row r="107" spans="1:4">
      <c r="A107" s="9">
        <v>8.1999999999999993</v>
      </c>
      <c r="B107" s="67">
        <f>IF('2 - Vendor Questionnaire'!C83="Yes",1,IF('2 - Vendor Questionnaire'!C83="No",0,IF('2 - Vendor Questionnaire'!C83="Partial (Explain)",0.5,"")))</f>
        <v>1</v>
      </c>
      <c r="C107" s="67">
        <f t="shared" ref="C107:C110" si="8">IF(B107&lt;&gt;"",1,"")</f>
        <v>1</v>
      </c>
      <c r="D107" s="191"/>
    </row>
    <row r="108" spans="1:4">
      <c r="A108" s="9">
        <v>8.3000000000000007</v>
      </c>
      <c r="B108" s="67" t="str">
        <f>IF('2 - Vendor Questionnaire'!C84="Yes",1,IF('2 - Vendor Questionnaire'!C84="No",0,IF('2 - Vendor Questionnaire'!C84="Partial (Explain)",0.5,"")))</f>
        <v/>
      </c>
      <c r="C108" s="67" t="str">
        <f t="shared" si="8"/>
        <v/>
      </c>
      <c r="D108" s="191"/>
    </row>
    <row r="109" spans="1:4" ht="16" customHeight="1">
      <c r="A109" s="9">
        <v>8.4</v>
      </c>
      <c r="B109" s="67" t="str">
        <f>IF('2 - Vendor Questionnaire'!C85="Yes",1,IF('2 - Vendor Questionnaire'!C85="No",0,IF('2 - Vendor Questionnaire'!C85="Partial (Explain)",0.5,"")))</f>
        <v/>
      </c>
      <c r="C109" s="67" t="str">
        <f t="shared" si="8"/>
        <v/>
      </c>
      <c r="D109" s="191"/>
    </row>
    <row r="110" spans="1:4">
      <c r="A110" s="82">
        <v>8.5</v>
      </c>
      <c r="B110" s="67" t="str">
        <f>IF('2 - Vendor Questionnaire'!C86="Yes",1,IF('2 - Vendor Questionnaire'!C86="No",0,IF('2 - Vendor Questionnaire'!C86="Partial (Explain)",0.5,"")))</f>
        <v/>
      </c>
      <c r="C110" s="67" t="str">
        <f t="shared" si="8"/>
        <v/>
      </c>
      <c r="D110" s="191"/>
    </row>
    <row r="111" spans="1:4">
      <c r="A111" s="72" t="s">
        <v>170</v>
      </c>
      <c r="B111" s="73">
        <f>SUM(B106:B110)</f>
        <v>2</v>
      </c>
      <c r="C111" s="74">
        <f>SUM(C106:C110)</f>
        <v>2</v>
      </c>
      <c r="D111" s="192"/>
    </row>
  </sheetData>
  <mergeCells count="35">
    <mergeCell ref="A2:I2"/>
    <mergeCell ref="A12:I12"/>
    <mergeCell ref="A13:I14"/>
    <mergeCell ref="G28:J34"/>
    <mergeCell ref="G26:J27"/>
    <mergeCell ref="B17:D17"/>
    <mergeCell ref="D18:D28"/>
    <mergeCell ref="B30:D30"/>
    <mergeCell ref="B31:D31"/>
    <mergeCell ref="D32:D35"/>
    <mergeCell ref="B36:D36"/>
    <mergeCell ref="D37:D51"/>
    <mergeCell ref="B52:D52"/>
    <mergeCell ref="D53:D64"/>
    <mergeCell ref="B65:D65"/>
    <mergeCell ref="B105:D105"/>
    <mergeCell ref="D106:D111"/>
    <mergeCell ref="D97:D104"/>
    <mergeCell ref="I39:J39"/>
    <mergeCell ref="G39:H39"/>
    <mergeCell ref="G40:H40"/>
    <mergeCell ref="B85:D85"/>
    <mergeCell ref="D86:D90"/>
    <mergeCell ref="B91:D91"/>
    <mergeCell ref="D92:D95"/>
    <mergeCell ref="B96:D96"/>
    <mergeCell ref="D66:D84"/>
    <mergeCell ref="G38:J38"/>
    <mergeCell ref="I43:J46"/>
    <mergeCell ref="G43:H46"/>
    <mergeCell ref="I40:J40"/>
    <mergeCell ref="G41:H41"/>
    <mergeCell ref="G42:H42"/>
    <mergeCell ref="I41:J41"/>
    <mergeCell ref="I42:J42"/>
  </mergeCells>
  <conditionalFormatting sqref="B31">
    <cfRule type="containsText" dxfId="17" priority="23" operator="containsText" text="EXCLUDED">
      <formula>NOT(ISERROR(SEARCH("EXCLUDED",B31)))</formula>
    </cfRule>
  </conditionalFormatting>
  <conditionalFormatting sqref="B52">
    <cfRule type="containsText" dxfId="16" priority="22" operator="containsText" text="EXCLUDED">
      <formula>NOT(ISERROR(SEARCH("EXCLUDED",B52)))</formula>
    </cfRule>
  </conditionalFormatting>
  <conditionalFormatting sqref="B85">
    <cfRule type="containsText" dxfId="15" priority="18" operator="containsText" text="EXCLUDED">
      <formula>NOT(ISERROR(SEARCH("EXCLUDED",B85)))</formula>
    </cfRule>
    <cfRule type="containsText" dxfId="14" priority="19" operator="containsText" text="EXCLUDED">
      <formula>NOT(ISERROR(SEARCH("EXCLUDED",B85)))</formula>
    </cfRule>
  </conditionalFormatting>
  <conditionalFormatting sqref="B91 B96">
    <cfRule type="containsText" dxfId="13" priority="20" operator="containsText" text="EXCLUDED">
      <formula>NOT(ISERROR(SEARCH("EXCLUDED",B91)))</formula>
    </cfRule>
    <cfRule type="containsText" dxfId="12" priority="21" operator="containsText" text="EXCLUDED">
      <formula>NOT(ISERROR(SEARCH("EXCLUDED",B91)))</formula>
    </cfRule>
  </conditionalFormatting>
  <conditionalFormatting sqref="B105">
    <cfRule type="containsText" dxfId="11" priority="16" operator="containsText" text="EXCLUDED">
      <formula>NOT(ISERROR(SEARCH("EXCLUDED",B105)))</formula>
    </cfRule>
    <cfRule type="containsText" dxfId="10" priority="17" operator="containsText" text="EXCLUDED">
      <formula>NOT(ISERROR(SEARCH("EXCLUDED",B105)))</formula>
    </cfRule>
  </conditionalFormatting>
  <conditionalFormatting sqref="G28">
    <cfRule type="expression" dxfId="9" priority="6">
      <formula>G28&lt;50%</formula>
    </cfRule>
    <cfRule type="expression" dxfId="8" priority="7">
      <formula>AND(G28&gt;=50%,G28&lt;70%)</formula>
    </cfRule>
    <cfRule type="expression" dxfId="7" priority="8" stopIfTrue="1">
      <formula>AND(G28&gt;=70%,G28&lt;80%)</formula>
    </cfRule>
    <cfRule type="expression" dxfId="6" priority="9">
      <formula>AND(G28&gt;=80%,G28&lt;90%)</formula>
    </cfRule>
    <cfRule type="expression" dxfId="5" priority="10">
      <formula>AND(G28&gt;=90%,G28&lt;=100%)</formula>
    </cfRule>
  </conditionalFormatting>
  <conditionalFormatting sqref="I40">
    <cfRule type="expression" dxfId="4" priority="1">
      <formula>I40&lt;50%</formula>
    </cfRule>
    <cfRule type="expression" dxfId="3" priority="2">
      <formula>AND(I40&gt;=50%,I40&lt;70%)</formula>
    </cfRule>
    <cfRule type="expression" dxfId="2" priority="3" stopIfTrue="1">
      <formula>AND(I40&gt;=70%,I40&lt;80%)</formula>
    </cfRule>
    <cfRule type="expression" dxfId="1" priority="4">
      <formula>AND(I40&gt;=80%,I40&lt;90%)</formula>
    </cfRule>
    <cfRule type="expression" dxfId="0" priority="5">
      <formula>AND(I40&gt;=90%,I40&lt;=100%)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0999-91FB-E343-A851-B08AC0A2BD46}">
  <dimension ref="A1:D19"/>
  <sheetViews>
    <sheetView workbookViewId="0">
      <selection activeCell="G24" sqref="G24"/>
    </sheetView>
  </sheetViews>
  <sheetFormatPr baseColWidth="10" defaultRowHeight="15"/>
  <cols>
    <col min="1" max="1" width="27.5" bestFit="1" customWidth="1"/>
    <col min="2" max="3" width="26.33203125" bestFit="1" customWidth="1"/>
    <col min="4" max="4" width="20.1640625" bestFit="1" customWidth="1"/>
  </cols>
  <sheetData>
    <row r="1" spans="1:4">
      <c r="A1" s="86" t="s">
        <v>169</v>
      </c>
      <c r="B1" s="87" t="s">
        <v>199</v>
      </c>
      <c r="C1" s="87" t="s">
        <v>200</v>
      </c>
      <c r="D1" s="88" t="s">
        <v>201</v>
      </c>
    </row>
    <row r="2" spans="1:4">
      <c r="A2" s="89" t="s">
        <v>202</v>
      </c>
      <c r="B2" s="84">
        <f>'Risk Score'!D18</f>
        <v>1</v>
      </c>
      <c r="C2" s="85">
        <v>0.1</v>
      </c>
      <c r="D2" s="90">
        <f>B2*10%</f>
        <v>0.1</v>
      </c>
    </row>
    <row r="3" spans="1:4">
      <c r="A3" s="89" t="s">
        <v>208</v>
      </c>
      <c r="B3" s="84">
        <f>'Risk Score'!D32</f>
        <v>0.5</v>
      </c>
      <c r="C3" s="85">
        <v>0.05</v>
      </c>
      <c r="D3" s="91">
        <f>B3*5%</f>
        <v>2.5000000000000001E-2</v>
      </c>
    </row>
    <row r="4" spans="1:4">
      <c r="A4" s="89" t="s">
        <v>203</v>
      </c>
      <c r="B4" s="84">
        <f>'Risk Score'!D37</f>
        <v>0.75</v>
      </c>
      <c r="C4" s="85">
        <v>0.2</v>
      </c>
      <c r="D4" s="90">
        <f>B4*20%</f>
        <v>0.15000000000000002</v>
      </c>
    </row>
    <row r="5" spans="1:4">
      <c r="A5" s="89" t="s">
        <v>204</v>
      </c>
      <c r="B5" s="84">
        <f>'Risk Score'!D53</f>
        <v>1</v>
      </c>
      <c r="C5" s="85">
        <v>0.15</v>
      </c>
      <c r="D5" s="92">
        <f>B5*15%</f>
        <v>0.15</v>
      </c>
    </row>
    <row r="6" spans="1:4">
      <c r="A6" s="89" t="s">
        <v>205</v>
      </c>
      <c r="B6" s="84">
        <f>'Risk Score'!D66</f>
        <v>0.5</v>
      </c>
      <c r="C6" s="85">
        <v>0.25</v>
      </c>
      <c r="D6" s="90">
        <f>B6*25%</f>
        <v>0.125</v>
      </c>
    </row>
    <row r="7" spans="1:4">
      <c r="A7" s="89" t="s">
        <v>206</v>
      </c>
      <c r="B7" s="84">
        <f>'Risk Score'!D86</f>
        <v>1</v>
      </c>
      <c r="C7" s="85">
        <v>0.05</v>
      </c>
      <c r="D7" s="92">
        <f>B7*5%</f>
        <v>0.05</v>
      </c>
    </row>
    <row r="8" spans="1:4">
      <c r="A8" s="89" t="s">
        <v>207</v>
      </c>
      <c r="B8" s="84">
        <f>'Risk Score'!D92</f>
        <v>0.75</v>
      </c>
      <c r="C8" s="85">
        <v>0.1</v>
      </c>
      <c r="D8" s="90">
        <f>B8*10%</f>
        <v>7.5000000000000011E-2</v>
      </c>
    </row>
    <row r="9" spans="1:4">
      <c r="A9" s="89" t="s">
        <v>26</v>
      </c>
      <c r="B9" s="84">
        <f>'Risk Score'!D97</f>
        <v>1</v>
      </c>
      <c r="C9" s="85">
        <v>0.05</v>
      </c>
      <c r="D9" s="91">
        <f>B9*5%</f>
        <v>0.05</v>
      </c>
    </row>
    <row r="10" spans="1:4" ht="16" thickBot="1">
      <c r="A10" s="89" t="s">
        <v>193</v>
      </c>
      <c r="B10" s="84">
        <f>'Risk Score'!D106</f>
        <v>1</v>
      </c>
      <c r="C10" s="85">
        <v>0.05</v>
      </c>
      <c r="D10" s="90">
        <f>B10*5%</f>
        <v>0.05</v>
      </c>
    </row>
    <row r="11" spans="1:4">
      <c r="A11" s="94" t="s">
        <v>209</v>
      </c>
      <c r="B11" s="203">
        <f>SUM(D2:D10)</f>
        <v>0.77500000000000013</v>
      </c>
      <c r="C11" s="204"/>
      <c r="D11" s="205"/>
    </row>
    <row r="13" spans="1:4">
      <c r="A13" s="86" t="s">
        <v>210</v>
      </c>
      <c r="B13" s="87" t="s">
        <v>198</v>
      </c>
      <c r="C13" s="88" t="s">
        <v>107</v>
      </c>
    </row>
    <row r="14" spans="1:4">
      <c r="A14" s="89" t="s">
        <v>211</v>
      </c>
      <c r="B14" s="95" t="s">
        <v>173</v>
      </c>
      <c r="C14" s="96" t="s">
        <v>212</v>
      </c>
    </row>
    <row r="15" spans="1:4">
      <c r="A15" s="89" t="s">
        <v>213</v>
      </c>
      <c r="B15" s="95" t="s">
        <v>214</v>
      </c>
      <c r="C15" s="96" t="s">
        <v>215</v>
      </c>
    </row>
    <row r="16" spans="1:4">
      <c r="A16" s="89" t="s">
        <v>216</v>
      </c>
      <c r="B16" s="95" t="s">
        <v>174</v>
      </c>
      <c r="C16" s="96" t="s">
        <v>217</v>
      </c>
    </row>
    <row r="17" spans="1:3">
      <c r="A17" s="89" t="s">
        <v>218</v>
      </c>
      <c r="B17" s="95" t="s">
        <v>116</v>
      </c>
      <c r="C17" s="96" t="s">
        <v>219</v>
      </c>
    </row>
    <row r="18" spans="1:3" ht="16" thickBot="1">
      <c r="A18" s="89" t="s">
        <v>220</v>
      </c>
      <c r="B18" s="95" t="s">
        <v>176</v>
      </c>
      <c r="C18" s="96" t="s">
        <v>221</v>
      </c>
    </row>
    <row r="19" spans="1:3">
      <c r="A19" s="93" t="s">
        <v>198</v>
      </c>
      <c r="B19" s="206" t="str">
        <f>IF(B11&gt;=90%,"Low Risk",
IF(B11&gt;=80%,"Moderate Risk",
IF(B11&gt;=70%,"Medium Risk",
IF(B11&gt;=50%,"High Risk",
"Critical Risk"))))</f>
        <v>Medium Risk</v>
      </c>
      <c r="C19" s="207"/>
    </row>
  </sheetData>
  <mergeCells count="2">
    <mergeCell ref="B11:D11"/>
    <mergeCell ref="B19:C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selection activeCell="B31" sqref="B31:D31"/>
    </sheetView>
  </sheetViews>
  <sheetFormatPr baseColWidth="10" defaultColWidth="8.83203125" defaultRowHeight="15"/>
  <cols>
    <col min="1" max="1" width="40.1640625" customWidth="1"/>
    <col min="2" max="2" width="48.5" customWidth="1"/>
    <col min="3" max="3" width="51.1640625" customWidth="1"/>
    <col min="4" max="4" width="32.83203125" customWidth="1"/>
  </cols>
  <sheetData>
    <row r="1" spans="1:7">
      <c r="A1" t="s">
        <v>55</v>
      </c>
      <c r="B1" t="s">
        <v>35</v>
      </c>
      <c r="C1" t="s">
        <v>56</v>
      </c>
      <c r="D1" t="s">
        <v>57</v>
      </c>
      <c r="E1" t="s">
        <v>58</v>
      </c>
      <c r="F1" t="s">
        <v>59</v>
      </c>
      <c r="G1" t="s">
        <v>60</v>
      </c>
    </row>
    <row r="2" spans="1:7">
      <c r="A2" t="s">
        <v>61</v>
      </c>
      <c r="B2" t="s">
        <v>62</v>
      </c>
      <c r="C2" t="s">
        <v>63</v>
      </c>
      <c r="D2" t="s">
        <v>64</v>
      </c>
      <c r="E2" t="s">
        <v>65</v>
      </c>
    </row>
    <row r="3" spans="1:7">
      <c r="A3" t="s">
        <v>66</v>
      </c>
      <c r="B3" t="s">
        <v>67</v>
      </c>
      <c r="C3" t="s">
        <v>68</v>
      </c>
      <c r="D3" t="s">
        <v>69</v>
      </c>
      <c r="E3" t="s">
        <v>70</v>
      </c>
    </row>
    <row r="4" spans="1:7">
      <c r="A4" t="s">
        <v>71</v>
      </c>
      <c r="B4" t="s">
        <v>72</v>
      </c>
      <c r="C4" t="s">
        <v>73</v>
      </c>
      <c r="D4" t="s">
        <v>74</v>
      </c>
      <c r="E4" t="s">
        <v>75</v>
      </c>
    </row>
    <row r="5" spans="1:7">
      <c r="A5" t="s">
        <v>76</v>
      </c>
      <c r="B5" t="s">
        <v>77</v>
      </c>
      <c r="C5" t="s">
        <v>78</v>
      </c>
      <c r="D5" t="s">
        <v>79</v>
      </c>
      <c r="E5" t="s">
        <v>80</v>
      </c>
    </row>
    <row r="6" spans="1:7">
      <c r="A6" t="s">
        <v>81</v>
      </c>
      <c r="B6" t="s">
        <v>82</v>
      </c>
      <c r="C6" t="s">
        <v>83</v>
      </c>
      <c r="D6" t="s">
        <v>84</v>
      </c>
      <c r="E6" t="s">
        <v>85</v>
      </c>
    </row>
    <row r="7" spans="1:7">
      <c r="A7" t="s">
        <v>86</v>
      </c>
      <c r="B7" t="s">
        <v>27</v>
      </c>
      <c r="C7" t="s">
        <v>87</v>
      </c>
      <c r="D7" t="s">
        <v>88</v>
      </c>
      <c r="E7" t="s">
        <v>89</v>
      </c>
    </row>
    <row r="8" spans="1:7">
      <c r="A8" t="s">
        <v>90</v>
      </c>
      <c r="B8" t="s">
        <v>91</v>
      </c>
      <c r="C8" t="s">
        <v>92</v>
      </c>
      <c r="D8" t="s">
        <v>93</v>
      </c>
      <c r="E8" t="s">
        <v>94</v>
      </c>
    </row>
    <row r="9" spans="1:7">
      <c r="A9" t="s">
        <v>95</v>
      </c>
      <c r="B9" t="s">
        <v>96</v>
      </c>
      <c r="C9" t="s">
        <v>97</v>
      </c>
      <c r="D9" t="s">
        <v>98</v>
      </c>
      <c r="E9" t="s">
        <v>99</v>
      </c>
    </row>
  </sheetData>
  <pageMargins left="0.75" right="0.75" top="1" bottom="1" header="0.5" footer="0.5"/>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election activeCell="B31" sqref="B31:D31"/>
    </sheetView>
  </sheetViews>
  <sheetFormatPr baseColWidth="10" defaultColWidth="8.83203125" defaultRowHeight="15"/>
  <cols>
    <col min="1" max="1" width="17.5" customWidth="1"/>
    <col min="2" max="2" width="28.33203125" customWidth="1"/>
  </cols>
  <sheetData>
    <row r="1" spans="1:2">
      <c r="A1" t="s">
        <v>2</v>
      </c>
      <c r="B1" t="s">
        <v>100</v>
      </c>
    </row>
    <row r="2" spans="1:2">
      <c r="A2">
        <v>0</v>
      </c>
      <c r="B2" t="s">
        <v>101</v>
      </c>
    </row>
    <row r="3" spans="1:2">
      <c r="A3">
        <v>1</v>
      </c>
      <c r="B3" t="s">
        <v>102</v>
      </c>
    </row>
    <row r="4" spans="1:2">
      <c r="A4">
        <v>2</v>
      </c>
      <c r="B4" t="s">
        <v>103</v>
      </c>
    </row>
    <row r="5" spans="1:2">
      <c r="A5">
        <v>3</v>
      </c>
      <c r="B5" t="s">
        <v>104</v>
      </c>
    </row>
    <row r="6" spans="1:2">
      <c r="A6">
        <v>4</v>
      </c>
      <c r="B6" t="s">
        <v>105</v>
      </c>
    </row>
  </sheetData>
  <pageMargins left="0.75" right="0.75" top="1" bottom="1" header="0.5" footer="0.5"/>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election activeCell="B31" sqref="B31:D31"/>
    </sheetView>
  </sheetViews>
  <sheetFormatPr baseColWidth="10" defaultColWidth="8.83203125" defaultRowHeight="15"/>
  <sheetData>
    <row r="1" spans="1:3">
      <c r="A1" t="s">
        <v>106</v>
      </c>
      <c r="B1" t="s">
        <v>107</v>
      </c>
      <c r="C1" t="s">
        <v>108</v>
      </c>
    </row>
    <row r="2" spans="1:3">
      <c r="A2" t="s">
        <v>109</v>
      </c>
      <c r="B2" t="s">
        <v>110</v>
      </c>
      <c r="C2" t="s">
        <v>111</v>
      </c>
    </row>
    <row r="3" spans="1:3">
      <c r="A3" t="s">
        <v>112</v>
      </c>
      <c r="B3" t="s">
        <v>113</v>
      </c>
      <c r="C3" t="s">
        <v>114</v>
      </c>
    </row>
    <row r="4" spans="1:3">
      <c r="A4" t="s">
        <v>115</v>
      </c>
      <c r="B4" t="s">
        <v>116</v>
      </c>
      <c r="C4" t="s">
        <v>117</v>
      </c>
    </row>
    <row r="5" spans="1:3">
      <c r="A5" t="s">
        <v>118</v>
      </c>
      <c r="B5" t="s">
        <v>119</v>
      </c>
      <c r="C5" t="s">
        <v>120</v>
      </c>
    </row>
  </sheetData>
  <pageMargins left="0.75" right="0.75" top="1" bottom="1" header="0.5" footer="0.5"/>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5"/>
  <sheetViews>
    <sheetView workbookViewId="0">
      <selection activeCell="B31" sqref="B31:D31"/>
    </sheetView>
  </sheetViews>
  <sheetFormatPr baseColWidth="10" defaultColWidth="8.83203125" defaultRowHeight="15"/>
  <cols>
    <col min="1" max="1" width="34.1640625" customWidth="1"/>
    <col min="2" max="2" width="57.6640625" customWidth="1"/>
  </cols>
  <sheetData>
    <row r="1" spans="1:2">
      <c r="A1" t="s">
        <v>121</v>
      </c>
      <c r="B1" t="s">
        <v>122</v>
      </c>
    </row>
    <row r="2" spans="1:2">
      <c r="A2" t="s">
        <v>123</v>
      </c>
      <c r="B2">
        <v>-1</v>
      </c>
    </row>
    <row r="3" spans="1:2">
      <c r="A3" t="s">
        <v>124</v>
      </c>
      <c r="B3" t="e">
        <v>#DIV/0!</v>
      </c>
    </row>
    <row r="4" spans="1:2">
      <c r="A4" t="s">
        <v>125</v>
      </c>
      <c r="B4" t="e">
        <v>#DIV/0!</v>
      </c>
    </row>
    <row r="5" spans="1:2">
      <c r="A5" t="s">
        <v>126</v>
      </c>
      <c r="B5" t="s">
        <v>127</v>
      </c>
    </row>
    <row r="6" spans="1:2">
      <c r="A6" t="s">
        <v>128</v>
      </c>
      <c r="B6" t="e">
        <f>B4</f>
        <v>#DIV/0!</v>
      </c>
    </row>
    <row r="7" spans="1:2">
      <c r="A7" t="s">
        <v>107</v>
      </c>
      <c r="B7" t="e">
        <f>IF(B6&gt;=85,"APPROVE",IF(B6&gt;=70,"CONDITIONAL",IF(B6&gt;=50,"HIGH RISK","REJECT")))</f>
        <v>#DIV/0!</v>
      </c>
    </row>
    <row r="9" spans="1:2">
      <c r="A9" s="8" t="s">
        <v>129</v>
      </c>
    </row>
    <row r="10" spans="1:2">
      <c r="A10" t="s">
        <v>130</v>
      </c>
    </row>
    <row r="11" spans="1:2">
      <c r="A11" t="s">
        <v>131</v>
      </c>
    </row>
    <row r="12" spans="1:2">
      <c r="A12" t="s">
        <v>132</v>
      </c>
      <c r="B12" t="s">
        <v>133</v>
      </c>
    </row>
    <row r="13" spans="1:2">
      <c r="A13" t="s">
        <v>134</v>
      </c>
    </row>
    <row r="14" spans="1:2">
      <c r="A14" t="s">
        <v>135</v>
      </c>
    </row>
    <row r="15" spans="1:2">
      <c r="A15" t="s">
        <v>136</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1 - Stakeholder Questionnaire</vt:lpstr>
      <vt:lpstr>2 - Vendor Questionnaire</vt:lpstr>
      <vt:lpstr>Final Report</vt:lpstr>
      <vt:lpstr>Risk Score</vt:lpstr>
      <vt:lpstr>Reference Score</vt:lpstr>
      <vt:lpstr>Assessment Controls</vt:lpstr>
      <vt:lpstr>Scoring Model</vt:lpstr>
      <vt:lpstr>Decision Thresholds</vt:lpstr>
      <vt:lpstr>Scorecard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Robison</dc:creator>
  <cp:keywords/>
  <dc:description/>
  <cp:lastModifiedBy>Chris Daniel</cp:lastModifiedBy>
  <cp:revision/>
  <cp:lastPrinted>2026-06-06T17:42:39Z</cp:lastPrinted>
  <dcterms:created xsi:type="dcterms:W3CDTF">2023-11-22T15:10:57Z</dcterms:created>
  <dcterms:modified xsi:type="dcterms:W3CDTF">2026-06-15T10:15:28Z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0x0101000D9064049AD49444B868CB15A19C2F12</vt:lpwstr>
  </property>
  <property fmtid="{D5CDD505-2E9C-101B-9397-08002B2CF9AE}" pid="3" name="MSIP_Label_f38c6790-b8db-43c0-b3d6-5f5286eb3886_Enabled">
    <vt:lpwstr>true</vt:lpwstr>
  </property>
  <property fmtid="{D5CDD505-2E9C-101B-9397-08002B2CF9AE}" pid="4" name="MSIP_Label_f38c6790-b8db-43c0-b3d6-5f5286eb3886_SetDate">
    <vt:lpwstr>2026-05-27T19:41:45Z</vt:lpwstr>
  </property>
  <property fmtid="{D5CDD505-2E9C-101B-9397-08002B2CF9AE}" pid="5" name="MSIP_Label_f38c6790-b8db-43c0-b3d6-5f5286eb3886_Method">
    <vt:lpwstr>Standard</vt:lpwstr>
  </property>
  <property fmtid="{D5CDD505-2E9C-101B-9397-08002B2CF9AE}" pid="6" name="MSIP_Label_f38c6790-b8db-43c0-b3d6-5f5286eb3886_Name">
    <vt:lpwstr>Internal Use</vt:lpwstr>
  </property>
  <property fmtid="{D5CDD505-2E9C-101B-9397-08002B2CF9AE}" pid="7" name="MSIP_Label_f38c6790-b8db-43c0-b3d6-5f5286eb3886_SiteId">
    <vt:lpwstr>2c892937-361e-4d23-92df-eb5e7d514165</vt:lpwstr>
  </property>
  <property fmtid="{D5CDD505-2E9C-101B-9397-08002B2CF9AE}" pid="8" name="MSIP_Label_f38c6790-b8db-43c0-b3d6-5f5286eb3886_ActionId">
    <vt:lpwstr>9312d59b-35e5-4c35-8d99-86cb312fd751</vt:lpwstr>
  </property>
  <property fmtid="{D5CDD505-2E9C-101B-9397-08002B2CF9AE}" pid="9" name="MSIP_Label_f38c6790-b8db-43c0-b3d6-5f5286eb3886_ContentBits">
    <vt:lpwstr>0</vt:lpwstr>
  </property>
  <property fmtid="{D5CDD505-2E9C-101B-9397-08002B2CF9AE}" pid="10" name="MSIP_Label_f38c6790-b8db-43c0-b3d6-5f5286eb3886_Tag">
    <vt:lpwstr>10, 3, 0, 1</vt:lpwstr>
  </property>
  <property fmtid="{D5CDD505-2E9C-101B-9397-08002B2CF9AE}" pid="11" name="_AdHocReviewCycleID">
    <vt:i4>1452189088</vt:i4>
  </property>
  <property fmtid="{D5CDD505-2E9C-101B-9397-08002B2CF9AE}" pid="12" name="_NewReviewCycle">
    <vt:lpwstr/>
  </property>
  <property fmtid="{D5CDD505-2E9C-101B-9397-08002B2CF9AE}" pid="13" name="_EmailSubject">
    <vt:lpwstr>AI Vendor Risk Assessment - </vt:lpwstr>
  </property>
  <property fmtid="{D5CDD505-2E9C-101B-9397-08002B2CF9AE}" pid="14" name="_AuthorEmail">
    <vt:lpwstr>CPercival@ilshealth.com</vt:lpwstr>
  </property>
  <property fmtid="{D5CDD505-2E9C-101B-9397-08002B2CF9AE}" pid="15" name="_AuthorEmailDisplayName">
    <vt:lpwstr>Christopher Percival</vt:lpwstr>
  </property>
</Properties>
</file>